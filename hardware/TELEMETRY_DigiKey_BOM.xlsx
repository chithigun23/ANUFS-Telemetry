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OM" sheetId="1" state="visible" r:id="rId1"/>
    <sheet xmlns:r="http://schemas.openxmlformats.org/officeDocument/2006/relationships" name="Cautions" sheetId="2" state="visible" r:id="rId2"/>
    <sheet xmlns:r="http://schemas.openxmlformats.org/officeDocument/2006/relationships" name="DigiKey Uplo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</font>
    <font>
      <b val="1"/>
      <color rgb="FFFFFFFF"/>
      <sz val="11"/>
    </font>
    <font>
      <b val="1"/>
    </font>
    <font>
      <name val="Arial"/>
      <color theme="1"/>
      <sz val="10"/>
    </font>
    <font>
      <name val="Arial"/>
      <b val="1"/>
      <sz val="10"/>
    </font>
    <font>
      <name val="Calibri"/>
      <b val="1"/>
      <color theme="1"/>
      <sz val="11"/>
    </font>
  </fonts>
  <fills count="7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CE4D6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top" wrapText="1"/>
    </xf>
    <xf numFmtId="0" fontId="1" fillId="2" borderId="0" pivotButton="0" quotePrefix="0" xfId="0"/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1" fontId="3" fillId="5" borderId="1" applyAlignment="1" pivotButton="0" quotePrefix="0" xfId="0">
      <alignment vertical="top" wrapText="1"/>
    </xf>
    <xf numFmtId="1" fontId="3" fillId="5" borderId="0" applyAlignment="1" pivotButton="0" quotePrefix="0" xfId="0">
      <alignment vertical="top" wrapText="1"/>
    </xf>
    <xf numFmtId="1" fontId="4" fillId="5" borderId="0" applyAlignment="1" pivotButton="0" quotePrefix="0" xfId="0">
      <alignment vertical="top" wrapText="1"/>
    </xf>
    <xf numFmtId="1" fontId="3" fillId="6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5" fillId="0" borderId="0" pivotButton="0" quotePrefix="0" xfId="0"/>
    <xf numFmtId="0" fontId="3" fillId="4" borderId="1" applyAlignment="1" pivotButton="0" quotePrefix="0" xfId="0">
      <alignment vertical="top" wrapText="1"/>
    </xf>
    <xf numFmtId="1" fontId="0" fillId="0" borderId="0" pivotButton="0" quotePrefix="0" xfId="0"/>
    <xf numFmtId="0" fontId="0" fillId="0" borderId="0" applyAlignment="1" pivotButton="0" quotePrefix="0" xfId="0">
      <alignment wrapText="1"/>
    </xf>
    <xf numFmtId="1" fontId="3" fillId="5" borderId="1" applyAlignment="1" pivotButton="0" quotePrefix="0" xfId="0">
      <alignment vertical="top" wrapText="1"/>
    </xf>
    <xf numFmtId="1" fontId="3" fillId="5" borderId="0" applyAlignment="1" pivotButton="0" quotePrefix="0" xfId="0">
      <alignment vertical="top" wrapText="1"/>
    </xf>
    <xf numFmtId="1" fontId="4" fillId="5" borderId="0" applyAlignment="1" pivotButton="0" quotePrefix="0" xfId="0">
      <alignment vertical="top" wrapText="1"/>
    </xf>
    <xf numFmtId="1" fontId="3" fillId="6" borderId="0" applyAlignment="1" pivotButton="0" quotePrefix="0" xfId="0">
      <alignment vertical="top" wrapText="1"/>
    </xf>
    <xf numFmtId="1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6" customWidth="1" min="3" max="3"/>
    <col width="14" customWidth="1" min="4" max="4"/>
    <col width="30" customWidth="1" min="5" max="5"/>
    <col width="18" customWidth="1" min="6" max="6"/>
    <col width="26" customWidth="1" min="7" max="7"/>
    <col width="20" customWidth="1" min="8" max="8"/>
    <col width="34" customWidth="1" min="9" max="9"/>
    <col width="52" customWidth="1" min="10" max="10"/>
  </cols>
  <sheetData>
    <row r="1" ht="30" customHeight="1">
      <c r="A1" s="1" t="inlineStr">
        <is>
          <t>#</t>
        </is>
      </c>
      <c r="B1" s="1" t="inlineStr">
        <is>
          <t>Reference(s)</t>
        </is>
      </c>
      <c r="C1" s="1" t="inlineStr">
        <is>
          <t>Qty</t>
        </is>
      </c>
      <c r="D1" s="1" t="inlineStr">
        <is>
          <t>Value</t>
        </is>
      </c>
      <c r="E1" s="1" t="inlineStr">
        <is>
          <t>Package / Footprint</t>
        </is>
      </c>
      <c r="F1" s="1" t="inlineStr">
        <is>
          <t>Manufacturer</t>
        </is>
      </c>
      <c r="G1" s="1" t="inlineStr">
        <is>
          <t>Manufacturer Part Number (MPN)</t>
        </is>
      </c>
      <c r="H1" s="1" t="inlineStr">
        <is>
          <t>DigiKey Part Number</t>
        </is>
      </c>
      <c r="I1" s="1" t="inlineStr">
        <is>
          <t>Purchasing spec / action</t>
        </is>
      </c>
      <c r="J1" s="1" t="inlineStr">
        <is>
          <t>Notes</t>
        </is>
      </c>
    </row>
    <row r="2" ht="36" customHeight="1">
      <c r="A2" s="28" t="n">
        <v>1</v>
      </c>
      <c r="B2" s="16" t="inlineStr">
        <is>
          <t>C1,C14,C19-C21,C24-C26,C32-C37,C43,C46</t>
        </is>
      </c>
      <c r="C2" s="28" t="n">
        <v>16</v>
      </c>
      <c r="D2" s="16" t="inlineStr">
        <is>
          <t>100nF</t>
        </is>
      </c>
      <c r="E2" s="16" t="inlineStr">
        <is>
          <t>C_0402_1005Metric_Pad0.74x0.62mm_HandSolder</t>
        </is>
      </c>
      <c r="F2" s="16" t="n"/>
      <c r="G2" s="16" t="n"/>
      <c r="H2" s="16" t="n"/>
      <c r="I2" s="16" t="inlineStr">
        <is>
          <t>Select exact supplier part matching value and footprint.</t>
        </is>
      </c>
      <c r="J2" s="16" t="n"/>
    </row>
    <row r="3" ht="36" customHeight="1">
      <c r="A3" s="28" t="n">
        <v>2</v>
      </c>
      <c r="B3" s="16" t="inlineStr">
        <is>
          <t>C2,C11-C13,C17,C41,C44,C47,C53</t>
        </is>
      </c>
      <c r="C3" s="28" t="n">
        <v>9</v>
      </c>
      <c r="D3" s="16" t="inlineStr">
        <is>
          <t>1uF</t>
        </is>
      </c>
      <c r="E3" s="16" t="inlineStr">
        <is>
          <t>C_0402_1005Metric_Pad0.74x0.62mm_HandSolder</t>
        </is>
      </c>
      <c r="F3" s="16" t="n"/>
      <c r="G3" s="16" t="n"/>
      <c r="H3" s="16" t="n"/>
      <c r="I3" s="16" t="inlineStr">
        <is>
          <t>Select exact supplier part matching value and footprint.</t>
        </is>
      </c>
      <c r="J3" s="16" t="n"/>
    </row>
    <row r="4" ht="36" customHeight="1">
      <c r="A4" s="28" t="n">
        <v>3</v>
      </c>
      <c r="B4" s="16" t="inlineStr">
        <is>
          <t>C3</t>
        </is>
      </c>
      <c r="C4" s="28" t="n">
        <v>1</v>
      </c>
      <c r="D4" s="16" t="inlineStr">
        <is>
          <t>220nF</t>
        </is>
      </c>
      <c r="E4" s="16" t="inlineStr">
        <is>
          <t>C_0402_1005Metric_Pad0.74x0.62mm_HandSolder</t>
        </is>
      </c>
      <c r="F4" s="16" t="n"/>
      <c r="G4" s="16" t="n"/>
      <c r="H4" s="16" t="n"/>
      <c r="I4" s="16" t="inlineStr">
        <is>
          <t>Select exact supplier part matching value and footprint.</t>
        </is>
      </c>
      <c r="J4" s="16" t="n"/>
    </row>
    <row r="5" ht="36" customHeight="1">
      <c r="A5" s="28" t="n">
        <v>4</v>
      </c>
      <c r="B5" s="16" t="inlineStr">
        <is>
          <t>C4,C10,C38-C40,C42,C45</t>
        </is>
      </c>
      <c r="C5" s="28" t="n">
        <v>7</v>
      </c>
      <c r="D5" s="16" t="inlineStr">
        <is>
          <t>10uF</t>
        </is>
      </c>
      <c r="E5" s="16" t="inlineStr">
        <is>
          <t>C_0402_1005Metric_Pad0.74x0.62mm_HandSolder</t>
        </is>
      </c>
      <c r="F5" s="16" t="n"/>
      <c r="G5" s="16" t="n"/>
      <c r="H5" s="16" t="n"/>
      <c r="I5" s="16" t="inlineStr">
        <is>
          <t>Select exact supplier part matching value and footprint.</t>
        </is>
      </c>
      <c r="J5" s="16" t="n"/>
    </row>
    <row r="6" ht="36" customHeight="1">
      <c r="A6" s="28" t="n">
        <v>5</v>
      </c>
      <c r="B6" s="16" t="inlineStr">
        <is>
          <t>C5,C7-C9,C18</t>
        </is>
      </c>
      <c r="C6" s="28" t="n">
        <v>5</v>
      </c>
      <c r="D6" s="16" t="inlineStr">
        <is>
          <t>22uF</t>
        </is>
      </c>
      <c r="E6" s="16" t="inlineStr">
        <is>
          <t>C_0402_1005Metric_Pad0.74x0.62mm_HandSolder</t>
        </is>
      </c>
      <c r="F6" s="16" t="n"/>
      <c r="G6" s="16" t="n"/>
      <c r="H6" s="16" t="n"/>
      <c r="I6" s="16" t="inlineStr">
        <is>
          <t>Select exact supplier part matching value and footprint.</t>
        </is>
      </c>
      <c r="J6" s="16" t="n"/>
    </row>
    <row r="7" ht="36" customHeight="1">
      <c r="A7" s="28" t="n">
        <v>6</v>
      </c>
      <c r="B7" s="16" t="inlineStr">
        <is>
          <t>C6</t>
        </is>
      </c>
      <c r="C7" s="28" t="n">
        <v>1</v>
      </c>
      <c r="D7" s="16" t="inlineStr">
        <is>
          <t>100uF</t>
        </is>
      </c>
      <c r="E7" s="16" t="inlineStr">
        <is>
          <t>CP_Elec_6.3x7.7</t>
        </is>
      </c>
      <c r="F7" s="16" t="n"/>
      <c r="G7" s="16" t="n"/>
      <c r="H7" s="16" t="n"/>
      <c r="I7" s="16" t="inlineStr">
        <is>
          <t>Select exact supplier part matching value and footprint.</t>
        </is>
      </c>
      <c r="J7" s="16" t="n"/>
    </row>
    <row r="8" ht="36" customHeight="1">
      <c r="A8" s="28" t="n">
        <v>7</v>
      </c>
      <c r="B8" s="16" t="inlineStr">
        <is>
          <t>C15,C16</t>
        </is>
      </c>
      <c r="C8" s="28" t="n">
        <v>2</v>
      </c>
      <c r="D8" s="16" t="inlineStr">
        <is>
          <t>8pF</t>
        </is>
      </c>
      <c r="E8" s="16" t="inlineStr">
        <is>
          <t>C_0402_1005Metric_Pad0.74x0.62mm_HandSolder</t>
        </is>
      </c>
      <c r="F8" s="16" t="n"/>
      <c r="G8" s="16" t="n"/>
      <c r="H8" s="16" t="n"/>
      <c r="I8" s="16" t="inlineStr">
        <is>
          <t>Select exact supplier part matching value and footprint.</t>
        </is>
      </c>
      <c r="J8" s="16" t="n"/>
    </row>
    <row r="9" ht="36" customHeight="1">
      <c r="A9" s="28" t="n">
        <v>8</v>
      </c>
      <c r="B9" s="16" t="inlineStr">
        <is>
          <t>C22,C23</t>
        </is>
      </c>
      <c r="C9" s="28" t="n">
        <v>2</v>
      </c>
      <c r="D9" s="16" t="inlineStr">
        <is>
          <t>2.2uF</t>
        </is>
      </c>
      <c r="E9" s="16" t="inlineStr">
        <is>
          <t>C_0402_1005Metric_Pad0.74x0.62mm_HandSolder</t>
        </is>
      </c>
      <c r="F9" s="16" t="n"/>
      <c r="G9" s="16" t="n"/>
      <c r="H9" s="16" t="n"/>
      <c r="I9" s="16" t="inlineStr">
        <is>
          <t>Select exact supplier part matching value and footprint.</t>
        </is>
      </c>
      <c r="J9" s="16" t="n"/>
    </row>
    <row r="10" ht="46.5" customHeight="1">
      <c r="A10" s="28" t="n">
        <v>9</v>
      </c>
      <c r="B10" s="16" t="inlineStr">
        <is>
          <t>C27,C30,C48,C51</t>
        </is>
      </c>
      <c r="C10" s="28" t="n">
        <v>4</v>
      </c>
      <c r="D10" s="16" t="inlineStr">
        <is>
          <t>100pF</t>
        </is>
      </c>
      <c r="E10" s="16" t="inlineStr">
        <is>
          <t>C_0402_1005Metric_Pad0.74x0.62mm_HandSolder</t>
        </is>
      </c>
      <c r="F10" s="16" t="inlineStr">
        <is>
          <t>Yageo</t>
        </is>
      </c>
      <c r="G10" s="16" t="inlineStr">
        <is>
          <t>CC0402JRNPO9BN101</t>
        </is>
      </c>
      <c r="H10" s="16" t="n"/>
      <c r="I10" s="16" t="inlineStr">
        <is>
          <t>Match package and ordering suffix.</t>
        </is>
      </c>
      <c r="J10" s="16" t="inlineStr">
        <is>
          <t>LCSC: C106200. C0G/NP0, 50V, 5%. GNSS antenna bias-tee DC block or bias decoupling cap (source: active_antenna_addition_BOM.md).</t>
        </is>
      </c>
    </row>
    <row r="11" ht="36" customHeight="1">
      <c r="A11" s="28" t="n">
        <v>10</v>
      </c>
      <c r="B11" s="16" t="inlineStr">
        <is>
          <t>C31,C52</t>
        </is>
      </c>
      <c r="C11" s="28" t="n">
        <v>2</v>
      </c>
      <c r="D11" s="16" t="inlineStr">
        <is>
          <t>100nF</t>
        </is>
      </c>
      <c r="E11" s="16" t="inlineStr">
        <is>
          <t>C_0402_1005Metric_Pad0.74x0.62mm_HandSolder</t>
        </is>
      </c>
      <c r="F11" s="16" t="inlineStr">
        <is>
          <t>Yageo</t>
        </is>
      </c>
      <c r="G11" s="16" t="inlineStr">
        <is>
          <t>CC0402KRX7R7BB104</t>
        </is>
      </c>
      <c r="H11" s="16" t="n"/>
      <c r="I11" s="16" t="inlineStr">
        <is>
          <t>Match package and ordering suffix.</t>
        </is>
      </c>
      <c r="J11" s="16" t="inlineStr">
        <is>
          <t>LCSC: C60474. X7R, 16V, 10%. GNSS antenna bias-tee decoupling cap (source: active_antenna_addition_BOM.md).</t>
        </is>
      </c>
    </row>
    <row r="12" ht="36" customHeight="1">
      <c r="A12" s="28" t="n">
        <v>11</v>
      </c>
      <c r="B12" s="16" t="inlineStr">
        <is>
          <t>D1</t>
        </is>
      </c>
      <c r="C12" s="28" t="n">
        <v>1</v>
      </c>
      <c r="D12" s="16" t="inlineStr">
        <is>
          <t>BZT52-C15S-AU_R1_000A1</t>
        </is>
      </c>
      <c r="E12" s="16" t="inlineStr">
        <is>
          <t>D_SOD-123</t>
        </is>
      </c>
      <c r="F12" s="16" t="n"/>
      <c r="G12" s="16" t="inlineStr">
        <is>
          <t>BZT52-C15S-AU_R1_000A1</t>
        </is>
      </c>
      <c r="H12" s="16" t="n"/>
      <c r="I12" s="16" t="inlineStr">
        <is>
          <t>Match package and ordering suffix.</t>
        </is>
      </c>
      <c r="J12" s="16" t="inlineStr">
        <is>
          <t>Part identifier from schematic value; verify exact ordering code.</t>
        </is>
      </c>
    </row>
    <row r="13" ht="36" customHeight="1">
      <c r="A13" s="28" t="n">
        <v>12</v>
      </c>
      <c r="B13" s="16" t="inlineStr">
        <is>
          <t>D2</t>
        </is>
      </c>
      <c r="C13" s="28" t="n">
        <v>1</v>
      </c>
      <c r="D13" s="16" t="inlineStr">
        <is>
          <t>SMBJ16A</t>
        </is>
      </c>
      <c r="E13" s="16" t="inlineStr">
        <is>
          <t>SMBJ16A</t>
        </is>
      </c>
      <c r="F13" s="16" t="inlineStr">
        <is>
          <t>Littelfuse</t>
        </is>
      </c>
      <c r="G13" s="16" t="inlineStr">
        <is>
          <t>SMBJ16A</t>
        </is>
      </c>
      <c r="H13" s="16" t="n"/>
      <c r="I13" s="16" t="inlineStr">
        <is>
          <t>Match package and ordering suffix.</t>
        </is>
      </c>
      <c r="J13" s="16" t="inlineStr">
        <is>
          <t>LCSC: C151254</t>
        </is>
      </c>
    </row>
    <row r="14" ht="36" customHeight="1">
      <c r="A14" s="28" t="n">
        <v>13</v>
      </c>
      <c r="B14" s="16" t="inlineStr">
        <is>
          <t>D3</t>
        </is>
      </c>
      <c r="C14" s="28" t="n">
        <v>1</v>
      </c>
      <c r="D14" s="16" t="inlineStr">
        <is>
          <t>PMEG2010BER</t>
        </is>
      </c>
      <c r="E14" s="16" t="inlineStr">
        <is>
          <t>Nexperia_CFP3_SOD-123W</t>
        </is>
      </c>
      <c r="F14" s="16" t="n"/>
      <c r="G14" s="16" t="inlineStr">
        <is>
          <t>PMEG2010BER</t>
        </is>
      </c>
      <c r="H14" s="16" t="n"/>
      <c r="I14" s="16" t="inlineStr">
        <is>
          <t>Match package and ordering suffix.</t>
        </is>
      </c>
      <c r="J14" s="16" t="inlineStr">
        <is>
          <t>Part identifier from schematic value; verify exact ordering code.</t>
        </is>
      </c>
    </row>
    <row r="15" ht="36" customHeight="1">
      <c r="A15" s="28" t="n">
        <v>14</v>
      </c>
      <c r="B15" s="16" t="inlineStr">
        <is>
          <t>D4,D5</t>
        </is>
      </c>
      <c r="C15" s="28" t="n">
        <v>2</v>
      </c>
      <c r="D15" s="16" t="inlineStr">
        <is>
          <t>PESD0402-140</t>
        </is>
      </c>
      <c r="E15" s="16" t="inlineStr">
        <is>
          <t>PESD0402-140</t>
        </is>
      </c>
      <c r="F15" s="16" t="inlineStr">
        <is>
          <t>Littelfuse</t>
        </is>
      </c>
      <c r="G15" s="16" t="inlineStr">
        <is>
          <t>PESD0402-140</t>
        </is>
      </c>
      <c r="H15" s="16" t="inlineStr">
        <is>
          <t>PESD0402-140CT-ND</t>
        </is>
      </c>
      <c r="I15" s="16" t="inlineStr">
        <is>
          <t>Match package and ordering suffix.</t>
        </is>
      </c>
      <c r="J15" s="16" t="inlineStr">
        <is>
          <t>LCSC: C10662. ESD protection at the GNSS antenna node.</t>
        </is>
      </c>
    </row>
    <row r="16" ht="36" customHeight="1">
      <c r="A16" s="28" t="n">
        <v>15</v>
      </c>
      <c r="B16" s="16" t="inlineStr">
        <is>
          <t>F1</t>
        </is>
      </c>
      <c r="C16" s="28" t="n">
        <v>1</v>
      </c>
      <c r="D16" s="16" t="inlineStr">
        <is>
          <t>1.5A Polyfuse</t>
        </is>
      </c>
      <c r="E16" s="16" t="inlineStr">
        <is>
          <t>L_1812_4532Metric_Pad1.30x3.40mm_HandSolder</t>
        </is>
      </c>
      <c r="F16" s="16" t="n"/>
      <c r="G16" s="16" t="n"/>
      <c r="H16" s="16" t="n"/>
      <c r="I16" s="16" t="inlineStr">
        <is>
          <t>Select exact supplier part matching value and footprint.</t>
        </is>
      </c>
      <c r="J16" s="16" t="n"/>
    </row>
    <row r="17" ht="36" customHeight="1">
      <c r="A17" s="28" t="n">
        <v>16</v>
      </c>
      <c r="B17" s="16" t="inlineStr">
        <is>
          <t>J1,J4,J5</t>
        </is>
      </c>
      <c r="C17" s="28" t="n">
        <v>3</v>
      </c>
      <c r="D17" s="16" t="inlineStr">
        <is>
          <t>2601-1102</t>
        </is>
      </c>
      <c r="E17" s="16" t="inlineStr">
        <is>
          <t>WAGO-2601-1102</t>
        </is>
      </c>
      <c r="F17" s="16" t="n"/>
      <c r="G17" s="16" t="n"/>
      <c r="H17" s="16" t="n"/>
      <c r="I17" s="16" t="inlineStr">
        <is>
          <t>Select exact supplier part matching value and footprint.</t>
        </is>
      </c>
      <c r="J17" s="16" t="n"/>
    </row>
    <row r="18" ht="36" customHeight="1">
      <c r="A18" s="28" t="n">
        <v>17</v>
      </c>
      <c r="B18" s="16" t="inlineStr">
        <is>
          <t>J3,J11</t>
        </is>
      </c>
      <c r="C18" s="28" t="n">
        <v>2</v>
      </c>
      <c r="D18" s="16" t="inlineStr">
        <is>
          <t>MOLEX_104031-0811</t>
        </is>
      </c>
      <c r="E18" s="16" t="inlineStr">
        <is>
          <t>MOLEX_104031-0811</t>
        </is>
      </c>
      <c r="F18" s="16" t="n"/>
      <c r="G18" s="16" t="n"/>
      <c r="H18" s="16" t="n"/>
      <c r="I18" s="16" t="inlineStr">
        <is>
          <t>Select exact supplier part matching value and footprint.</t>
        </is>
      </c>
      <c r="J18" s="16" t="n"/>
    </row>
    <row r="19" ht="36" customHeight="1">
      <c r="A19" s="28" t="n">
        <v>18</v>
      </c>
      <c r="B19" s="16" t="inlineStr">
        <is>
          <t>J6</t>
        </is>
      </c>
      <c r="C19" s="28" t="n">
        <v>1</v>
      </c>
      <c r="D19" s="16" t="inlineStr">
        <is>
          <t>USB_C_Receptacle_USB2.0_16P</t>
        </is>
      </c>
      <c r="E19" s="16" t="inlineStr">
        <is>
          <t>USB-C-SMD_TYPE-C-16PIN-2MD-073</t>
        </is>
      </c>
      <c r="F19" s="16" t="n"/>
      <c r="G19" s="16" t="n"/>
      <c r="H19" s="16" t="n"/>
      <c r="I19" s="16" t="inlineStr">
        <is>
          <t>Select exact supplier part matching value and footprint.</t>
        </is>
      </c>
      <c r="J19" s="16" t="inlineStr">
        <is>
          <t>LCSC: C2765186</t>
        </is>
      </c>
    </row>
    <row r="20" ht="73.5" customHeight="1">
      <c r="A20" s="28" t="n">
        <v>19</v>
      </c>
      <c r="B20" s="16" t="inlineStr">
        <is>
          <t>J7-J10</t>
        </is>
      </c>
      <c r="C20" s="28" t="n">
        <v>4</v>
      </c>
      <c r="D20" s="16" t="inlineStr">
        <is>
          <t>RFPC-SMA27-F</t>
        </is>
      </c>
      <c r="E20" s="16" t="inlineStr">
        <is>
          <t>RFPC-SMA27-F</t>
        </is>
      </c>
      <c r="F20" s="16" t="inlineStr">
        <is>
          <t>GradConn</t>
        </is>
      </c>
      <c r="G20" s="16" t="inlineStr">
        <is>
          <t>RFPC-SMA27-F</t>
        </is>
      </c>
      <c r="H20" s="16" t="n"/>
      <c r="I20" s="16" t="inlineStr">
        <is>
          <t>Match package and ordering suffix.</t>
        </is>
      </c>
      <c r="J20" s="16" t="inlineStr">
        <is>
          <t>J7 and J8 are the GNSS antenna inputs. J9 and J10 are joined to each other on net ANT3 (RF test through-path). active_antenna_addition_BOM.md lists this part as GCT, DigiKey 22162144, and flags it as backorder: check stock before ordering.</t>
        </is>
      </c>
    </row>
    <row r="21" ht="36" customHeight="1">
      <c r="A21" s="28" t="n">
        <v>20</v>
      </c>
      <c r="B21" s="16" t="inlineStr">
        <is>
          <t>L1</t>
        </is>
      </c>
      <c r="C21" s="28" t="n">
        <v>1</v>
      </c>
      <c r="D21" s="16" t="inlineStr">
        <is>
          <t>8uH, 14m</t>
        </is>
      </c>
      <c r="E21" s="16" t="inlineStr">
        <is>
          <t>L_TaiTech_TMPC1265_13.5x12.5mm</t>
        </is>
      </c>
      <c r="F21" s="16" t="n"/>
      <c r="G21" s="16" t="n"/>
      <c r="H21" s="16" t="n"/>
      <c r="I21" s="16" t="inlineStr">
        <is>
          <t>Select exact supplier part matching value and footprint.</t>
        </is>
      </c>
      <c r="J21" s="16" t="n"/>
    </row>
    <row r="22" ht="36" customHeight="1">
      <c r="A22" s="28" t="n">
        <v>21</v>
      </c>
      <c r="B22" s="16" t="inlineStr">
        <is>
          <t>L2,L3</t>
        </is>
      </c>
      <c r="C22" s="28" t="n">
        <v>2</v>
      </c>
      <c r="D22" s="16" t="inlineStr">
        <is>
          <t>LQW15AN56NG00D</t>
        </is>
      </c>
      <c r="E22" s="16" t="inlineStr">
        <is>
          <t>LQW15AN56NG00D</t>
        </is>
      </c>
      <c r="F22" s="16" t="inlineStr">
        <is>
          <t>Murata</t>
        </is>
      </c>
      <c r="G22" s="16" t="inlineStr">
        <is>
          <t>LQW15AN56NG00D</t>
        </is>
      </c>
      <c r="H22" s="16" t="inlineStr">
        <is>
          <t>490-6830-1-ND</t>
        </is>
      </c>
      <c r="I22" s="16" t="inlineStr">
        <is>
          <t>Match package and ordering suffix.</t>
        </is>
      </c>
      <c r="J22" s="16" t="inlineStr">
        <is>
          <t>LCSC: C167482. 56nH GNSS antenna bias choke, SRF 2.8GHz (source: active_antenna_addition_BOM.md).</t>
        </is>
      </c>
    </row>
    <row r="23" ht="36" customHeight="1">
      <c r="A23" s="28" t="n">
        <v>22</v>
      </c>
      <c r="B23" s="16" t="inlineStr">
        <is>
          <t>LED1-LED5</t>
        </is>
      </c>
      <c r="C23" s="28" t="n">
        <v>5</v>
      </c>
      <c r="D23" s="16" t="inlineStr">
        <is>
          <t>XL-2012SURUGC</t>
        </is>
      </c>
      <c r="E23" s="16" t="inlineStr">
        <is>
          <t>XL-2012SURUGC</t>
        </is>
      </c>
      <c r="F23" s="16" t="inlineStr">
        <is>
          <t>XINGLIGHT(成兴光)</t>
        </is>
      </c>
      <c r="G23" s="16" t="inlineStr">
        <is>
          <t>XL-2012SURUGC</t>
        </is>
      </c>
      <c r="H23" s="16" t="n"/>
      <c r="I23" s="16" t="inlineStr">
        <is>
          <t>Match package and ordering suffix.</t>
        </is>
      </c>
      <c r="J23" s="16" t="inlineStr">
        <is>
          <t>LCSC: C965845</t>
        </is>
      </c>
    </row>
    <row r="24" ht="36" customHeight="1">
      <c r="A24" s="28" t="n">
        <v>23</v>
      </c>
      <c r="B24" s="16" t="inlineStr">
        <is>
          <t>Q1</t>
        </is>
      </c>
      <c r="C24" s="28" t="n">
        <v>1</v>
      </c>
      <c r="D24" s="16" t="inlineStr">
        <is>
          <t>DMP3099LQ-7</t>
        </is>
      </c>
      <c r="E24" s="16" t="inlineStr">
        <is>
          <t>SOT-23</t>
        </is>
      </c>
      <c r="F24" s="16" t="n"/>
      <c r="G24" s="16" t="inlineStr">
        <is>
          <t>DMP3099LQ-7</t>
        </is>
      </c>
      <c r="H24" s="16" t="n"/>
      <c r="I24" s="16" t="inlineStr">
        <is>
          <t>Match package and ordering suffix.</t>
        </is>
      </c>
      <c r="J24" s="16" t="inlineStr">
        <is>
          <t>Part identifier from schematic value; verify exact ordering code.</t>
        </is>
      </c>
    </row>
    <row r="25" ht="36" customHeight="1">
      <c r="A25" s="28" t="n">
        <v>24</v>
      </c>
      <c r="B25" s="16" t="inlineStr">
        <is>
          <t>Q2</t>
        </is>
      </c>
      <c r="C25" s="28" t="n">
        <v>1</v>
      </c>
      <c r="D25" s="16" t="inlineStr">
        <is>
          <t>MMBT3904</t>
        </is>
      </c>
      <c r="E25" s="16" t="inlineStr">
        <is>
          <t>SOT-23</t>
        </is>
      </c>
      <c r="F25" s="16" t="n"/>
      <c r="G25" s="16" t="inlineStr">
        <is>
          <t>MMBT3904</t>
        </is>
      </c>
      <c r="H25" s="16" t="n"/>
      <c r="I25" s="16" t="inlineStr">
        <is>
          <t>Match package and ordering suffix.</t>
        </is>
      </c>
      <c r="J25" s="16" t="inlineStr">
        <is>
          <t>Part identifier from schematic value; verify exact ordering code.</t>
        </is>
      </c>
    </row>
    <row r="26" ht="36" customHeight="1">
      <c r="A26" s="28" t="n">
        <v>25</v>
      </c>
      <c r="B26" s="16" t="inlineStr">
        <is>
          <t>R1</t>
        </is>
      </c>
      <c r="C26" s="28" t="n">
        <v>1</v>
      </c>
      <c r="D26" s="16" t="inlineStr">
        <is>
          <t>23.7k</t>
        </is>
      </c>
      <c r="E26" s="16" t="inlineStr">
        <is>
          <t>R_0402_1005Metric_Pad0.72x0.64mm_HandSolder</t>
        </is>
      </c>
      <c r="F26" s="16" t="n"/>
      <c r="G26" s="16" t="n"/>
      <c r="H26" s="16" t="n"/>
      <c r="I26" s="16" t="inlineStr">
        <is>
          <t>Select exact supplier part matching value and footprint.</t>
        </is>
      </c>
      <c r="J26" s="16" t="n"/>
    </row>
    <row r="27" ht="36" customHeight="1">
      <c r="A27" s="28" t="n">
        <v>26</v>
      </c>
      <c r="B27" s="16" t="inlineStr">
        <is>
          <t>R2</t>
        </is>
      </c>
      <c r="C27" s="28" t="n">
        <v>1</v>
      </c>
      <c r="D27" s="16" t="inlineStr">
        <is>
          <t>18.2k</t>
        </is>
      </c>
      <c r="E27" s="16" t="inlineStr">
        <is>
          <t>R_0402_1005Metric_Pad0.72x0.64mm_HandSolder</t>
        </is>
      </c>
      <c r="F27" s="16" t="n"/>
      <c r="G27" s="16" t="n"/>
      <c r="H27" s="16" t="n"/>
      <c r="I27" s="16" t="inlineStr">
        <is>
          <t>Select exact supplier part matching value and footprint.</t>
        </is>
      </c>
      <c r="J27" s="16" t="n"/>
    </row>
    <row r="28" ht="36" customHeight="1">
      <c r="A28" s="28" t="n">
        <v>27</v>
      </c>
      <c r="B28" s="16" t="inlineStr">
        <is>
          <t>R3</t>
        </is>
      </c>
      <c r="C28" s="28" t="n">
        <v>1</v>
      </c>
      <c r="D28" s="16" t="inlineStr">
        <is>
          <t>21.5k</t>
        </is>
      </c>
      <c r="E28" s="16" t="inlineStr">
        <is>
          <t>R_0402_1005Metric_Pad0.72x0.64mm_HandSolder</t>
        </is>
      </c>
      <c r="F28" s="16" t="n"/>
      <c r="G28" s="16" t="n"/>
      <c r="H28" s="16" t="n"/>
      <c r="I28" s="16" t="inlineStr">
        <is>
          <t>Select exact supplier part matching value and footprint.</t>
        </is>
      </c>
      <c r="J28" s="16" t="n"/>
    </row>
    <row r="29" ht="36" customHeight="1">
      <c r="A29" s="28" t="n">
        <v>28</v>
      </c>
      <c r="B29" s="16" t="inlineStr">
        <is>
          <t>R4,R38</t>
        </is>
      </c>
      <c r="C29" s="28" t="n">
        <v>2</v>
      </c>
      <c r="D29" s="16" t="inlineStr">
        <is>
          <t>100k</t>
        </is>
      </c>
      <c r="E29" s="16" t="inlineStr">
        <is>
          <t>R_0402_1005Metric_Pad0.72x0.64mm_HandSolder</t>
        </is>
      </c>
      <c r="F29" s="16" t="n"/>
      <c r="G29" s="16" t="n"/>
      <c r="H29" s="16" t="n"/>
      <c r="I29" s="16" t="inlineStr">
        <is>
          <t>Select exact supplier part matching value and footprint.</t>
        </is>
      </c>
      <c r="J29" s="16" t="n"/>
    </row>
    <row r="30" ht="36" customHeight="1">
      <c r="A30" s="28" t="n">
        <v>29</v>
      </c>
      <c r="B30" s="16" t="inlineStr">
        <is>
          <t>R5,R6,R11,R12</t>
        </is>
      </c>
      <c r="C30" s="28" t="n">
        <v>4</v>
      </c>
      <c r="D30" s="16" t="inlineStr">
        <is>
          <t>5k</t>
        </is>
      </c>
      <c r="E30" s="16" t="inlineStr">
        <is>
          <t>R_0402_1005Metric_Pad0.72x0.64mm_HandSolder</t>
        </is>
      </c>
      <c r="F30" s="16" t="n"/>
      <c r="G30" s="16" t="n"/>
      <c r="H30" s="16" t="n"/>
      <c r="I30" s="16" t="inlineStr">
        <is>
          <t>Select exact supplier part matching value and footprint.</t>
        </is>
      </c>
      <c r="J30" s="16" t="n"/>
    </row>
    <row r="31" ht="36" customHeight="1">
      <c r="A31" s="28" t="n">
        <v>30</v>
      </c>
      <c r="B31" s="16" t="inlineStr">
        <is>
          <t>R7,R13-R23,R26-R29,R34,R36,R37,R46-R52</t>
        </is>
      </c>
      <c r="C31" s="28" t="n">
        <v>26</v>
      </c>
      <c r="D31" s="16" t="inlineStr">
        <is>
          <t>10k</t>
        </is>
      </c>
      <c r="E31" s="16" t="inlineStr">
        <is>
          <t>R_0402_1005Metric_Pad0.72x0.64mm_HandSolder</t>
        </is>
      </c>
      <c r="F31" s="16" t="n"/>
      <c r="G31" s="16" t="n"/>
      <c r="H31" s="16" t="n"/>
      <c r="I31" s="16" t="inlineStr">
        <is>
          <t>Select exact supplier part matching value and footprint.</t>
        </is>
      </c>
      <c r="J31" s="16" t="n"/>
    </row>
    <row r="32" ht="36" customHeight="1">
      <c r="A32" s="28" t="n">
        <v>31</v>
      </c>
      <c r="B32" s="16" t="inlineStr">
        <is>
          <t>R8</t>
        </is>
      </c>
      <c r="C32" s="28" t="n">
        <v>1</v>
      </c>
      <c r="D32" s="16" t="inlineStr">
        <is>
          <t>43.2k</t>
        </is>
      </c>
      <c r="E32" s="16" t="inlineStr">
        <is>
          <t>R_0402_1005Metric_Pad0.72x0.64mm_HandSolder</t>
        </is>
      </c>
      <c r="F32" s="16" t="n"/>
      <c r="G32" s="16" t="n"/>
      <c r="H32" s="16" t="n"/>
      <c r="I32" s="16" t="inlineStr">
        <is>
          <t>Select exact supplier part matching value and footprint.</t>
        </is>
      </c>
      <c r="J32" s="16" t="n"/>
    </row>
    <row r="33" ht="36" customHeight="1">
      <c r="A33" s="28" t="n">
        <v>32</v>
      </c>
      <c r="B33" s="16" t="inlineStr">
        <is>
          <t>R9</t>
        </is>
      </c>
      <c r="C33" s="28" t="n">
        <v>1</v>
      </c>
      <c r="D33" s="16" t="inlineStr">
        <is>
          <t>10.2k</t>
        </is>
      </c>
      <c r="E33" s="16" t="inlineStr">
        <is>
          <t>R_0402_1005Metric_Pad0.72x0.64mm_HandSolder</t>
        </is>
      </c>
      <c r="F33" s="16" t="n"/>
      <c r="G33" s="16" t="n"/>
      <c r="H33" s="16" t="n"/>
      <c r="I33" s="16" t="inlineStr">
        <is>
          <t>Select exact supplier part matching value and footprint.</t>
        </is>
      </c>
      <c r="J33" s="16" t="n"/>
    </row>
    <row r="34" ht="60" customHeight="1">
      <c r="A34" s="28" t="n">
        <v>33</v>
      </c>
      <c r="B34" s="16" t="inlineStr">
        <is>
          <t>R10</t>
        </is>
      </c>
      <c r="C34" s="28" t="n">
        <v>1</v>
      </c>
      <c r="D34" s="16" t="inlineStr">
        <is>
          <t>73.2k</t>
        </is>
      </c>
      <c r="E34" s="16" t="inlineStr">
        <is>
          <t>R_0402_1005Metric_Pad0.72x0.64mm_HandSolder</t>
        </is>
      </c>
      <c r="F34" s="16" t="n"/>
      <c r="G34" s="16" t="n"/>
      <c r="H34" s="16" t="n"/>
      <c r="I34" s="16" t="inlineStr">
        <is>
          <t>Select exact supplier part matching value and footprint.</t>
        </is>
      </c>
      <c r="J34" s="16" t="inlineStr">
        <is>
          <t>73.2k sets the TPS2121 OV1 trip. Trip = VREF x (1 + R10/R12) with VREF 1.01/1.06/1.10 V (min/typ/max, TPS2121 datasheet) and R12 = 5k: 15.8/16.6/17.2 V, above the ~14 V vehicle supply maximum (TEL-28).</t>
        </is>
      </c>
    </row>
    <row r="35" ht="36" customHeight="1">
      <c r="A35" s="28" t="n">
        <v>34</v>
      </c>
      <c r="B35" s="16" t="inlineStr">
        <is>
          <t>R24,R25</t>
        </is>
      </c>
      <c r="C35" s="28" t="n">
        <v>2</v>
      </c>
      <c r="D35" s="16" t="inlineStr">
        <is>
          <t>4.7k</t>
        </is>
      </c>
      <c r="E35" s="16" t="inlineStr">
        <is>
          <t>R_0402_1005Metric_Pad0.72x0.64mm_HandSolder</t>
        </is>
      </c>
      <c r="F35" s="16" t="n"/>
      <c r="G35" s="16" t="n"/>
      <c r="H35" s="16" t="n"/>
      <c r="I35" s="16" t="inlineStr">
        <is>
          <t>Select exact supplier part matching value and footprint.</t>
        </is>
      </c>
      <c r="J35" s="16" t="n"/>
    </row>
    <row r="36" ht="36" customHeight="1">
      <c r="A36" s="28" t="n">
        <v>35</v>
      </c>
      <c r="B36" s="16" t="inlineStr">
        <is>
          <t>R30,R31</t>
        </is>
      </c>
      <c r="C36" s="28" t="n">
        <v>2</v>
      </c>
      <c r="D36" s="16" t="inlineStr">
        <is>
          <t>1.87k</t>
        </is>
      </c>
      <c r="E36" s="16" t="inlineStr">
        <is>
          <t>R_0402_1005Metric_Pad0.72x0.64mm_HandSolder</t>
        </is>
      </c>
      <c r="F36" s="16" t="n"/>
      <c r="G36" s="16" t="n"/>
      <c r="H36" s="16" t="n"/>
      <c r="I36" s="16" t="inlineStr">
        <is>
          <t>Select exact supplier part matching value and footprint.</t>
        </is>
      </c>
      <c r="J36" s="16" t="n"/>
    </row>
    <row r="37" ht="36" customHeight="1">
      <c r="A37" s="28" t="n">
        <v>36</v>
      </c>
      <c r="B37" s="16" t="inlineStr">
        <is>
          <t>R32,R33</t>
        </is>
      </c>
      <c r="C37" s="28" t="n">
        <v>2</v>
      </c>
      <c r="D37" s="16" t="inlineStr">
        <is>
          <t>5.1k</t>
        </is>
      </c>
      <c r="E37" s="16" t="inlineStr">
        <is>
          <t>R_0402_1005Metric_Pad0.72x0.64mm_HandSolder</t>
        </is>
      </c>
      <c r="F37" s="16" t="n"/>
      <c r="G37" s="16" t="n"/>
      <c r="H37" s="16" t="n"/>
      <c r="I37" s="16" t="inlineStr">
        <is>
          <t>Select exact supplier part matching value and footprint.</t>
        </is>
      </c>
      <c r="J37" s="16" t="n"/>
    </row>
    <row r="38" ht="36" customHeight="1">
      <c r="A38" s="28" t="n">
        <v>37</v>
      </c>
      <c r="B38" s="16" t="inlineStr">
        <is>
          <t>R35,R42</t>
        </is>
      </c>
      <c r="C38" s="28" t="n">
        <v>2</v>
      </c>
      <c r="D38" s="16" t="inlineStr">
        <is>
          <t>0</t>
        </is>
      </c>
      <c r="E38" s="16" t="inlineStr">
        <is>
          <t>R_0402_1005Metric_Pad0.72x0.64mm_HandSolder</t>
        </is>
      </c>
      <c r="F38" s="16" t="n"/>
      <c r="G38" s="16" t="n"/>
      <c r="H38" s="16" t="n"/>
      <c r="I38" s="16" t="inlineStr">
        <is>
          <t>Select exact supplier part matching value and footprint.</t>
        </is>
      </c>
      <c r="J38" s="16" t="inlineStr">
        <is>
          <t>0 ohm link in the RF pi-filter series position, populated.</t>
        </is>
      </c>
    </row>
    <row r="39" ht="46.5" customHeight="1">
      <c r="A39" s="28" t="n">
        <v>38</v>
      </c>
      <c r="B39" s="16" t="inlineStr">
        <is>
          <t>R39,R43</t>
        </is>
      </c>
      <c r="C39" s="28" t="n">
        <v>2</v>
      </c>
      <c r="D39" s="16" t="inlineStr">
        <is>
          <t>10</t>
        </is>
      </c>
      <c r="E39" s="16" t="inlineStr">
        <is>
          <t>R_0402_1005Metric_Pad0.72x0.64mm_HandSolder</t>
        </is>
      </c>
      <c r="F39" s="16" t="n"/>
      <c r="G39" s="16" t="n"/>
      <c r="H39" s="16" t="n"/>
      <c r="I39" s="16" t="inlineStr">
        <is>
          <t>Select exact supplier part matching value and footprint.</t>
        </is>
      </c>
      <c r="J39" s="16" t="inlineStr">
        <is>
          <t>GNSS antenna bias series resistor, limits fault current if the antenna connector is shorted (source: active_antenna_addition_BOM.md).</t>
        </is>
      </c>
    </row>
    <row r="40" ht="36" customHeight="1">
      <c r="A40" s="28" t="n">
        <v>39</v>
      </c>
      <c r="B40" s="16" t="inlineStr">
        <is>
          <t>SW1,SW2</t>
        </is>
      </c>
      <c r="C40" s="28" t="n">
        <v>2</v>
      </c>
      <c r="D40" s="16" t="inlineStr">
        <is>
          <t>CJS-1200TB1</t>
        </is>
      </c>
      <c r="E40" s="16" t="inlineStr">
        <is>
          <t>CJS-1200TB1</t>
        </is>
      </c>
      <c r="F40" s="16" t="inlineStr">
        <is>
          <t>Nidec Components</t>
        </is>
      </c>
      <c r="G40" s="16" t="inlineStr">
        <is>
          <t>CJS-1200TB1</t>
        </is>
      </c>
      <c r="H40" s="16" t="n"/>
      <c r="I40" s="16" t="inlineStr">
        <is>
          <t>Match package and ordering suffix.</t>
        </is>
      </c>
      <c r="J40" s="16" t="inlineStr">
        <is>
          <t>LCSC: C2921631</t>
        </is>
      </c>
    </row>
    <row r="41" ht="36" customHeight="1">
      <c r="A41" s="28" t="n">
        <v>40</v>
      </c>
      <c r="B41" s="16" t="inlineStr">
        <is>
          <t>SW3</t>
        </is>
      </c>
      <c r="C41" s="28" t="n">
        <v>1</v>
      </c>
      <c r="D41" s="16" t="inlineStr">
        <is>
          <t>SW_NRST</t>
        </is>
      </c>
      <c r="E41" s="16" t="inlineStr">
        <is>
          <t>SMD-Switch</t>
        </is>
      </c>
      <c r="F41" s="16" t="n"/>
      <c r="G41" s="16" t="n"/>
      <c r="H41" s="16" t="n"/>
      <c r="I41" s="16" t="inlineStr">
        <is>
          <t>Select exact supplier part matching value and footprint.</t>
        </is>
      </c>
      <c r="J41" s="16" t="n"/>
    </row>
    <row r="42" ht="36" customHeight="1">
      <c r="A42" s="28" t="n">
        <v>41</v>
      </c>
      <c r="B42" s="16" t="inlineStr">
        <is>
          <t>SW4</t>
        </is>
      </c>
      <c r="C42" s="28" t="n">
        <v>1</v>
      </c>
      <c r="D42" s="16" t="inlineStr">
        <is>
          <t>SW_BOOT0</t>
        </is>
      </c>
      <c r="E42" s="16" t="inlineStr">
        <is>
          <t>SMD-Switch</t>
        </is>
      </c>
      <c r="F42" s="16" t="n"/>
      <c r="G42" s="16" t="n"/>
      <c r="H42" s="16" t="n"/>
      <c r="I42" s="16" t="inlineStr">
        <is>
          <t>Select exact supplier part matching value and footprint.</t>
        </is>
      </c>
      <c r="J42" s="16" t="n"/>
    </row>
    <row r="43" ht="36" customHeight="1">
      <c r="A43" s="28" t="n">
        <v>42</v>
      </c>
      <c r="B43" s="16" t="inlineStr">
        <is>
          <t>TP1</t>
        </is>
      </c>
      <c r="C43" s="28" t="n">
        <v>1</v>
      </c>
      <c r="D43" s="16" t="inlineStr">
        <is>
          <t>VBUS</t>
        </is>
      </c>
      <c r="E43" s="16" t="inlineStr">
        <is>
          <t>TestPoint_THTPad_D2.0mm_Drill1.0mm</t>
        </is>
      </c>
      <c r="F43" s="16" t="n"/>
      <c r="G43" s="16" t="n"/>
      <c r="H43" s="16" t="n"/>
      <c r="I43" s="16" t="inlineStr">
        <is>
          <t>Optional physical test point; select matching footprint.</t>
        </is>
      </c>
      <c r="J43" s="16" t="n"/>
    </row>
    <row r="44" ht="36" customHeight="1">
      <c r="A44" s="28" t="n">
        <v>43</v>
      </c>
      <c r="B44" s="16" t="inlineStr">
        <is>
          <t>TP2</t>
        </is>
      </c>
      <c r="C44" s="28" t="n">
        <v>1</v>
      </c>
      <c r="D44" s="16" t="inlineStr">
        <is>
          <t>+3V3</t>
        </is>
      </c>
      <c r="E44" s="16" t="inlineStr">
        <is>
          <t>TestPoint_THTPad_D2.0mm_Drill1.0mm</t>
        </is>
      </c>
      <c r="F44" s="16" t="n"/>
      <c r="G44" s="16" t="n"/>
      <c r="H44" s="16" t="n"/>
      <c r="I44" s="16" t="inlineStr">
        <is>
          <t>Optional physical test point; select matching footprint.</t>
        </is>
      </c>
      <c r="J44" s="16" t="n"/>
    </row>
    <row r="45" ht="36" customHeight="1">
      <c r="A45" s="28" t="n">
        <v>44</v>
      </c>
      <c r="B45" s="16" t="inlineStr">
        <is>
          <t>TP3</t>
        </is>
      </c>
      <c r="C45" s="28" t="n">
        <v>1</v>
      </c>
      <c r="D45" s="16" t="inlineStr">
        <is>
          <t>PG_BUCK</t>
        </is>
      </c>
      <c r="E45" s="16" t="inlineStr">
        <is>
          <t>TestPoint_THTPad_D2.0mm_Drill1.0mm</t>
        </is>
      </c>
      <c r="F45" s="16" t="n"/>
      <c r="G45" s="16" t="n"/>
      <c r="H45" s="16" t="n"/>
      <c r="I45" s="16" t="inlineStr">
        <is>
          <t>Optional physical test point; select matching footprint.</t>
        </is>
      </c>
      <c r="J45" s="16" t="n"/>
    </row>
    <row r="46" ht="36" customHeight="1">
      <c r="A46" s="28" t="n">
        <v>45</v>
      </c>
      <c r="B46" s="16" t="inlineStr">
        <is>
          <t>TP4</t>
        </is>
      </c>
      <c r="C46" s="28" t="n">
        <v>1</v>
      </c>
      <c r="D46" s="16" t="inlineStr">
        <is>
          <t>GND</t>
        </is>
      </c>
      <c r="E46" s="16" t="inlineStr">
        <is>
          <t>TestPoint_THTPad_D2.0mm_Drill1.0mm</t>
        </is>
      </c>
      <c r="F46" s="16" t="n"/>
      <c r="G46" s="16" t="n"/>
      <c r="H46" s="16" t="n"/>
      <c r="I46" s="16" t="inlineStr">
        <is>
          <t>Optional physical test point; select matching footprint.</t>
        </is>
      </c>
      <c r="J46" s="16" t="n"/>
    </row>
    <row r="47" ht="36" customHeight="1">
      <c r="A47" s="28" t="n">
        <v>46</v>
      </c>
      <c r="B47" s="16" t="inlineStr">
        <is>
          <t>TP5</t>
        </is>
      </c>
      <c r="C47" s="28" t="n">
        <v>1</v>
      </c>
      <c r="D47" s="16" t="inlineStr">
        <is>
          <t>CAN1+</t>
        </is>
      </c>
      <c r="E47" s="16" t="inlineStr">
        <is>
          <t>TestPoint_THTPad_D2.0mm_Drill1.0mm</t>
        </is>
      </c>
      <c r="F47" s="16" t="n"/>
      <c r="G47" s="16" t="n"/>
      <c r="H47" s="16" t="n"/>
      <c r="I47" s="16" t="inlineStr">
        <is>
          <t>Optional physical test point; select matching footprint.</t>
        </is>
      </c>
      <c r="J47" s="16" t="n"/>
    </row>
    <row r="48" ht="36" customHeight="1">
      <c r="A48" s="28" t="n">
        <v>47</v>
      </c>
      <c r="B48" s="16" t="inlineStr">
        <is>
          <t>TP6</t>
        </is>
      </c>
      <c r="C48" s="28" t="n">
        <v>1</v>
      </c>
      <c r="D48" s="16" t="inlineStr">
        <is>
          <t>CAN1-</t>
        </is>
      </c>
      <c r="E48" s="16" t="inlineStr">
        <is>
          <t>TestPoint_THTPad_D2.0mm_Drill1.0mm</t>
        </is>
      </c>
      <c r="F48" s="16" t="n"/>
      <c r="G48" s="16" t="n"/>
      <c r="H48" s="16" t="n"/>
      <c r="I48" s="16" t="inlineStr">
        <is>
          <t>Optional physical test point; select matching footprint.</t>
        </is>
      </c>
      <c r="J48" s="16" t="n"/>
    </row>
    <row r="49" ht="36" customHeight="1">
      <c r="A49" s="28" t="n">
        <v>48</v>
      </c>
      <c r="B49" s="16" t="inlineStr">
        <is>
          <t>TP7</t>
        </is>
      </c>
      <c r="C49" s="28" t="n">
        <v>1</v>
      </c>
      <c r="D49" s="16" t="inlineStr">
        <is>
          <t>CAN2+</t>
        </is>
      </c>
      <c r="E49" s="16" t="inlineStr">
        <is>
          <t>TestPoint_THTPad_D2.0mm_Drill1.0mm</t>
        </is>
      </c>
      <c r="F49" s="16" t="n"/>
      <c r="G49" s="16" t="n"/>
      <c r="H49" s="16" t="n"/>
      <c r="I49" s="16" t="inlineStr">
        <is>
          <t>Optional physical test point; select matching footprint.</t>
        </is>
      </c>
      <c r="J49" s="16" t="n"/>
    </row>
    <row r="50" ht="36" customHeight="1">
      <c r="A50" s="28" t="n">
        <v>49</v>
      </c>
      <c r="B50" s="16" t="inlineStr">
        <is>
          <t>TP8</t>
        </is>
      </c>
      <c r="C50" s="28" t="n">
        <v>1</v>
      </c>
      <c r="D50" s="16" t="inlineStr">
        <is>
          <t>CAN2-</t>
        </is>
      </c>
      <c r="E50" s="16" t="inlineStr">
        <is>
          <t>TestPoint_THTPad_D2.0mm_Drill1.0mm</t>
        </is>
      </c>
      <c r="F50" s="16" t="n"/>
      <c r="G50" s="16" t="n"/>
      <c r="H50" s="16" t="n"/>
      <c r="I50" s="16" t="inlineStr">
        <is>
          <t>Optional physical test point; select matching footprint.</t>
        </is>
      </c>
      <c r="J50" s="16" t="n"/>
    </row>
    <row r="51" ht="36" customHeight="1">
      <c r="A51" s="28" t="n">
        <v>50</v>
      </c>
      <c r="B51" s="16" t="inlineStr">
        <is>
          <t>U1</t>
        </is>
      </c>
      <c r="C51" s="28" t="n">
        <v>1</v>
      </c>
      <c r="D51" s="16" t="inlineStr">
        <is>
          <t>LMR33610ADDAR</t>
        </is>
      </c>
      <c r="E51" s="16" t="inlineStr">
        <is>
          <t>Texas_HSOP-8-1EP_3.9x4.9mm_P1.27mm_ThermalVias</t>
        </is>
      </c>
      <c r="F51" s="16" t="n"/>
      <c r="G51" s="16" t="inlineStr">
        <is>
          <t>LMR33610ADDAR</t>
        </is>
      </c>
      <c r="H51" s="16" t="n"/>
      <c r="I51" s="16" t="inlineStr">
        <is>
          <t>Match package and ordering suffix.</t>
        </is>
      </c>
      <c r="J51" s="16" t="inlineStr">
        <is>
          <t>Part identifier from schematic value; verify exact ordering code.</t>
        </is>
      </c>
    </row>
    <row r="52" ht="36" customHeight="1">
      <c r="A52" s="28" t="n">
        <v>51</v>
      </c>
      <c r="B52" s="16" t="inlineStr">
        <is>
          <t>U2</t>
        </is>
      </c>
      <c r="C52" s="28" t="n">
        <v>1</v>
      </c>
      <c r="D52" s="16" t="inlineStr">
        <is>
          <t>TPS2121RUXR</t>
        </is>
      </c>
      <c r="E52" s="16" t="inlineStr">
        <is>
          <t>VQFN-HR-12_L2.5-W2.0-P0.50-BL</t>
        </is>
      </c>
      <c r="F52" s="16" t="inlineStr">
        <is>
          <t>TI(德州仪器)</t>
        </is>
      </c>
      <c r="G52" s="16" t="inlineStr">
        <is>
          <t>TPS2121RUXR</t>
        </is>
      </c>
      <c r="H52" s="16" t="n"/>
      <c r="I52" s="16" t="inlineStr">
        <is>
          <t>Match package and ordering suffix.</t>
        </is>
      </c>
      <c r="J52" s="16" t="inlineStr">
        <is>
          <t>LCSC: C485916</t>
        </is>
      </c>
    </row>
    <row r="53" ht="36" customHeight="1">
      <c r="A53" s="28" t="n">
        <v>52</v>
      </c>
      <c r="B53" s="16" t="inlineStr">
        <is>
          <t>U3</t>
        </is>
      </c>
      <c r="C53" s="28" t="n">
        <v>1</v>
      </c>
      <c r="D53" s="16" t="inlineStr">
        <is>
          <t>ASM330LHHXG1TR</t>
        </is>
      </c>
      <c r="E53" s="16" t="inlineStr">
        <is>
          <t>ASM330LHHXG1TR</t>
        </is>
      </c>
      <c r="F53" s="16" t="n"/>
      <c r="G53" s="16" t="inlineStr">
        <is>
          <t>ASM330LHHXG1TR</t>
        </is>
      </c>
      <c r="H53" s="16" t="n"/>
      <c r="I53" s="16" t="inlineStr">
        <is>
          <t>Match package and ordering suffix.</t>
        </is>
      </c>
      <c r="J53" s="16" t="inlineStr">
        <is>
          <t>PCB value now matches the schematic (ASM330LHHXG1TR).</t>
        </is>
      </c>
    </row>
    <row r="54" ht="36" customHeight="1">
      <c r="A54" s="28" t="n">
        <v>53</v>
      </c>
      <c r="B54" s="16" t="inlineStr">
        <is>
          <t>U4,U7</t>
        </is>
      </c>
      <c r="C54" s="28" t="n">
        <v>2</v>
      </c>
      <c r="D54" s="16" t="inlineStr">
        <is>
          <t>TCAN337</t>
        </is>
      </c>
      <c r="E54" s="16" t="inlineStr">
        <is>
          <t>SOIC-8_3.9x4.9mm_P1.27mm</t>
        </is>
      </c>
      <c r="F54" s="16" t="n"/>
      <c r="G54" s="16" t="inlineStr">
        <is>
          <t>TCAN337</t>
        </is>
      </c>
      <c r="H54" s="16" t="n"/>
      <c r="I54" s="16" t="inlineStr">
        <is>
          <t>Match package and ordering suffix.</t>
        </is>
      </c>
      <c r="J54" s="16" t="inlineStr">
        <is>
          <t>Part identifier from schematic value; verify exact ordering code.</t>
        </is>
      </c>
    </row>
    <row r="55" ht="73.5" customHeight="1">
      <c r="A55" s="28" t="n">
        <v>54</v>
      </c>
      <c r="B55" s="16" t="inlineStr">
        <is>
          <t>U5</t>
        </is>
      </c>
      <c r="C55" s="28" t="n">
        <v>1</v>
      </c>
      <c r="D55" s="16" t="inlineStr">
        <is>
          <t>LM2940CT-5.0/LF01</t>
        </is>
      </c>
      <c r="E55" s="16" t="inlineStr">
        <is>
          <t>TO-263-3_TabPin2 (SMD formed-lead, TI NDG)</t>
        </is>
      </c>
      <c r="F55" s="16" t="inlineStr">
        <is>
          <t>Texas Instruments</t>
        </is>
      </c>
      <c r="G55" s="16" t="inlineStr">
        <is>
          <t>LM2940CT-5.0/LF01</t>
        </is>
      </c>
      <c r="H55" s="16" t="n"/>
      <c r="I55" s="16" t="inlineStr">
        <is>
          <t>Match package and ordering suffix.</t>
        </is>
      </c>
      <c r="J55" s="16" t="inlineStr">
        <is>
          <t>Confirmed SMD formed-lead variant (TI package code NDG) -- entire part incl. tab solders flat to the board, no through-hole leads and no mounting screw. Do not substitute the standard through-hole TO-220 LM2940CT-5.0/NOPB.</t>
        </is>
      </c>
    </row>
    <row r="56" ht="36" customHeight="1">
      <c r="A56" s="28" t="n">
        <v>55</v>
      </c>
      <c r="B56" s="16" t="inlineStr">
        <is>
          <t>U6</t>
        </is>
      </c>
      <c r="C56" s="28" t="n">
        <v>1</v>
      </c>
      <c r="D56" s="16" t="inlineStr">
        <is>
          <t>STM32H523RCT7</t>
        </is>
      </c>
      <c r="E56" s="16" t="inlineStr">
        <is>
          <t>STM32H523RCT7</t>
        </is>
      </c>
      <c r="F56" s="16" t="n"/>
      <c r="G56" s="16" t="inlineStr">
        <is>
          <t>STM32H523RCT7</t>
        </is>
      </c>
      <c r="H56" s="16" t="n"/>
      <c r="I56" s="16" t="inlineStr">
        <is>
          <t>Match package and ordering suffix.</t>
        </is>
      </c>
      <c r="J56" s="16" t="inlineStr">
        <is>
          <t>Part identifier from schematic value; verify exact ordering code.</t>
        </is>
      </c>
    </row>
    <row r="57" ht="36" customHeight="1">
      <c r="A57" s="28" t="n">
        <v>56</v>
      </c>
      <c r="B57" s="16" t="inlineStr">
        <is>
          <t>U8,U9</t>
        </is>
      </c>
      <c r="C57" s="28" t="n">
        <v>2</v>
      </c>
      <c r="D57" s="16" t="inlineStr">
        <is>
          <t>TLC59108IPWR</t>
        </is>
      </c>
      <c r="E57" s="16" t="inlineStr">
        <is>
          <t>TLC59108IPWR</t>
        </is>
      </c>
      <c r="F57" s="16" t="inlineStr">
        <is>
          <t>Texas Instruments</t>
        </is>
      </c>
      <c r="G57" s="16" t="inlineStr">
        <is>
          <t>TLC59108IPWR</t>
        </is>
      </c>
      <c r="H57" s="16" t="n"/>
      <c r="I57" s="16" t="inlineStr">
        <is>
          <t>Match package and ordering suffix.</t>
        </is>
      </c>
      <c r="J57" s="16" t="n"/>
    </row>
    <row r="58" ht="46.5" customHeight="1">
      <c r="A58" s="28" t="n">
        <v>57</v>
      </c>
      <c r="B58" s="16" t="inlineStr">
        <is>
          <t>U10,U13</t>
        </is>
      </c>
      <c r="C58" s="28" t="n">
        <v>2</v>
      </c>
      <c r="D58" s="16" t="inlineStr">
        <is>
          <t>LC29HEAMD</t>
        </is>
      </c>
      <c r="E58" s="16" t="inlineStr">
        <is>
          <t>LC29HEAMD</t>
        </is>
      </c>
      <c r="F58" s="16" t="inlineStr">
        <is>
          <t>Quectel</t>
        </is>
      </c>
      <c r="G58" s="16" t="inlineStr">
        <is>
          <t>LC29HEAMD</t>
        </is>
      </c>
      <c r="H58" s="16" t="n"/>
      <c r="I58" s="16" t="inlineStr">
        <is>
          <t>Match package and ordering suffix.</t>
        </is>
      </c>
      <c r="J58" s="16" t="inlineStr">
        <is>
          <t>U10 is the moving base (talks to the MCU), U13 is the rover. Part identifier from schematic value; verify exact ordering code.</t>
        </is>
      </c>
    </row>
    <row r="59" ht="36" customHeight="1">
      <c r="A59" s="28" t="n">
        <v>58</v>
      </c>
      <c r="B59" s="16" t="inlineStr">
        <is>
          <t>U11</t>
        </is>
      </c>
      <c r="C59" s="28" t="n">
        <v>1</v>
      </c>
      <c r="D59" s="16" t="inlineStr">
        <is>
          <t>USBLC6-2SC6</t>
        </is>
      </c>
      <c r="E59" s="16" t="inlineStr">
        <is>
          <t>SOT-23-6</t>
        </is>
      </c>
      <c r="F59" s="16" t="n"/>
      <c r="G59" s="16" t="inlineStr">
        <is>
          <t>USBLC6-2SC6</t>
        </is>
      </c>
      <c r="H59" s="16" t="n"/>
      <c r="I59" s="16" t="inlineStr">
        <is>
          <t>Match package and ordering suffix.</t>
        </is>
      </c>
      <c r="J59" s="16" t="inlineStr">
        <is>
          <t>Part identifier from schematic value; verify exact ordering code.</t>
        </is>
      </c>
    </row>
    <row r="60" ht="36" customHeight="1">
      <c r="A60" s="28" t="n">
        <v>59</v>
      </c>
      <c r="B60" s="16" t="inlineStr">
        <is>
          <t>U12</t>
        </is>
      </c>
      <c r="C60" s="28" t="n">
        <v>1</v>
      </c>
      <c r="D60" s="16" t="inlineStr">
        <is>
          <t>TXS0104EPW</t>
        </is>
      </c>
      <c r="E60" s="16" t="inlineStr">
        <is>
          <t>TSSOP-14_4.4x5mm_P0.65mm</t>
        </is>
      </c>
      <c r="F60" s="16" t="n"/>
      <c r="G60" s="16" t="inlineStr">
        <is>
          <t>TXS0104EPW</t>
        </is>
      </c>
      <c r="H60" s="16" t="n"/>
      <c r="I60" s="16" t="inlineStr">
        <is>
          <t>Match package and ordering suffix.</t>
        </is>
      </c>
      <c r="J60" s="16" t="inlineStr">
        <is>
          <t>Part identifier from schematic value; verify exact ordering code.</t>
        </is>
      </c>
    </row>
    <row r="61" ht="36" customHeight="1">
      <c r="A61" s="28" t="n">
        <v>60</v>
      </c>
      <c r="B61" s="16" t="inlineStr">
        <is>
          <t>Y1</t>
        </is>
      </c>
      <c r="C61" s="28" t="n">
        <v>1</v>
      </c>
      <c r="D61" s="16" t="inlineStr">
        <is>
          <t>ABM8AIG-24.000MHz-8-2Z-T</t>
        </is>
      </c>
      <c r="E61" s="16" t="inlineStr">
        <is>
          <t>ABM8AIG-24.000MHZ-8-2Z-T</t>
        </is>
      </c>
      <c r="F61" s="16" t="inlineStr">
        <is>
          <t>Abracon</t>
        </is>
      </c>
      <c r="G61" s="16" t="inlineStr">
        <is>
          <t>ABM8AIG-24.000MHz-8-2Z-T</t>
        </is>
      </c>
      <c r="H61" s="16" t="n"/>
      <c r="I61" s="16" t="inlineStr">
        <is>
          <t>Match package and ordering suffix.</t>
        </is>
      </c>
      <c r="J61" s="16" t="inlineStr">
        <is>
          <t>Part identifier from schematic value; verify exact ordering code.</t>
        </is>
      </c>
    </row>
    <row r="63" ht="18" customHeight="1">
      <c r="A63" s="24" t="n"/>
      <c r="B63" s="24" t="inlineStr">
        <is>
          <t>TOTAL PLACEMENTS</t>
        </is>
      </c>
      <c r="C63" s="24">
        <f>SUM(C2:C61)</f>
        <v/>
      </c>
      <c r="D63" s="24" t="n"/>
      <c r="E63" s="24" t="n"/>
      <c r="F63" s="24" t="n"/>
      <c r="G63" s="24" t="n"/>
      <c r="H63" s="24" t="n"/>
      <c r="I63" s="24" t="n"/>
      <c r="J63" s="24" t="n"/>
    </row>
    <row r="65" ht="18" customHeight="1">
      <c r="A65" s="24" t="n"/>
      <c r="B65" s="24" t="inlineStr">
        <is>
          <t>NOT PURCHASED: DNP or excluded from BOM (listed for reference, not in the total above)</t>
        </is>
      </c>
      <c r="C65" s="24" t="n"/>
      <c r="D65" s="24" t="n"/>
      <c r="E65" s="24" t="n"/>
      <c r="F65" s="24" t="n"/>
      <c r="G65" s="24" t="n"/>
      <c r="H65" s="24" t="n"/>
      <c r="I65" s="24" t="n"/>
      <c r="J65" s="24" t="n"/>
    </row>
    <row r="66" ht="36" customHeight="1">
      <c r="A66" s="28" t="n"/>
      <c r="B66" s="16" t="inlineStr">
        <is>
          <t>C28,C29,C49,C50</t>
        </is>
      </c>
      <c r="C66" s="28" t="n">
        <v>4</v>
      </c>
      <c r="D66" s="16" t="inlineStr">
        <is>
          <t>0</t>
        </is>
      </c>
      <c r="E66" s="16" t="inlineStr">
        <is>
          <t>C_0402_1005Metric_Pad0.74x0.62mm_HandSolder</t>
        </is>
      </c>
      <c r="F66" s="16" t="n"/>
      <c r="G66" s="16" t="n"/>
      <c r="H66" s="16" t="n"/>
      <c r="I66" s="16" t="inlineStr">
        <is>
          <t>Do not order.</t>
        </is>
      </c>
      <c r="J66" s="16" t="inlineStr">
        <is>
          <t>DNP: RF pi-filter shunt pad, intentionally left empty (tuning allowance)</t>
        </is>
      </c>
    </row>
    <row r="67" ht="36" customHeight="1">
      <c r="A67" s="28" t="n"/>
      <c r="B67" s="16" t="inlineStr">
        <is>
          <t>H1-H4</t>
        </is>
      </c>
      <c r="C67" s="28" t="n">
        <v>4</v>
      </c>
      <c r="D67" s="16" t="inlineStr">
        <is>
          <t>MountingHole_Pad</t>
        </is>
      </c>
      <c r="E67" s="16" t="inlineStr">
        <is>
          <t>MountingHole_3.2mm_M3_Pad</t>
        </is>
      </c>
      <c r="F67" s="16" t="n"/>
      <c r="G67" s="16" t="n"/>
      <c r="H67" s="16" t="n"/>
      <c r="I67" s="16" t="inlineStr">
        <is>
          <t>Do not order.</t>
        </is>
      </c>
      <c r="J67" s="16" t="inlineStr">
        <is>
          <t>Mounting hole, not purchased</t>
        </is>
      </c>
    </row>
    <row r="68" ht="36" customHeight="1">
      <c r="A68" s="28" t="n"/>
      <c r="B68" s="16" t="inlineStr">
        <is>
          <t>J2</t>
        </is>
      </c>
      <c r="C68" s="28" t="n">
        <v>1</v>
      </c>
      <c r="D68" s="16" t="inlineStr">
        <is>
          <t>TC2030</t>
        </is>
      </c>
      <c r="E68" s="16" t="inlineStr">
        <is>
          <t>Tag-Connect_TC2030-IDC-FP_2x03_P1.27mm_Vertical</t>
        </is>
      </c>
      <c r="F68" s="16" t="n"/>
      <c r="G68" s="16" t="n"/>
      <c r="H68" s="16" t="n"/>
      <c r="I68" s="16" t="inlineStr">
        <is>
          <t>Do not order.</t>
        </is>
      </c>
      <c r="J68" s="16" t="inlineStr">
        <is>
          <t>Tag-Connect TC2030 footprint only, no part to buy (excluded from BOM in schematic)</t>
        </is>
      </c>
    </row>
    <row r="69" ht="36" customHeight="1">
      <c r="A69" s="28" t="n"/>
      <c r="B69" s="16" t="inlineStr">
        <is>
          <t>J12</t>
        </is>
      </c>
      <c r="C69" s="28" t="n">
        <v>1</v>
      </c>
      <c r="D69" s="16" t="inlineStr">
        <is>
          <t>Conn_01x04</t>
        </is>
      </c>
      <c r="E69" s="16" t="inlineStr">
        <is>
          <t>PinHeader_1x04_P2.54mm_Vertical</t>
        </is>
      </c>
      <c r="F69" s="16" t="n"/>
      <c r="G69" s="16" t="n"/>
      <c r="H69" s="16" t="n"/>
      <c r="I69" s="16" t="inlineStr">
        <is>
          <t>Do not order.</t>
        </is>
      </c>
      <c r="J69" s="16" t="inlineStr">
        <is>
          <t>DNP: alternative 1x4 SWD header, only one of J2 / J12 is ever fitted (excluded from BOM in schematic)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34" customWidth="1" min="1" max="1"/>
    <col width="22" customWidth="1" min="2" max="2"/>
    <col width="72" customWidth="1" min="3" max="3"/>
    <col width="80" customWidth="1" min="4" max="4"/>
  </cols>
  <sheetData>
    <row r="1">
      <c r="A1" s="5" t="inlineStr">
        <is>
          <t>Item</t>
        </is>
      </c>
      <c r="B1" s="5" t="inlineStr">
        <is>
          <t>Severity</t>
        </is>
      </c>
      <c r="C1" s="5" t="inlineStr">
        <is>
          <t>What it is</t>
        </is>
      </c>
      <c r="D1" s="5" t="inlineStr">
        <is>
          <t>What to do before / when ordering</t>
        </is>
      </c>
    </row>
    <row r="2" ht="65" customHeight="1">
      <c r="A2" s="8" t="inlineStr">
        <is>
          <t>R10 (TEL-28)</t>
        </is>
      </c>
      <c r="B2" s="8" t="inlineStr">
        <is>
          <t>CHECK</t>
        </is>
      </c>
      <c r="C2" s="8" t="inlineStr">
        <is>
          <t>TPS2121 OV1 divider R10/R12 sets the vehicle-input overvoltage trip. With R10 = 73.2k and R12 = 5k the trip is 15.8/16.6/17.2 V (min/typ/max, VREF 1.01/1.06/1.10 V).</t>
        </is>
      </c>
      <c r="D2" s="8" t="inlineStr">
        <is>
          <t>Fit 73.2k at R10, matching the schematic and PCB (a 1% part keeps the trip window tight). An older BOM carried a lower value that trips inside the vehicle supply range, so do not reuse parts bought from it.</t>
        </is>
      </c>
    </row>
    <row r="3" ht="65" customHeight="1">
      <c r="A3" s="8" t="inlineStr">
        <is>
          <t>Supplier selection</t>
        </is>
      </c>
      <c r="B3" s="8" t="inlineStr">
        <is>
          <t>TO COMPLETE</t>
        </is>
      </c>
      <c r="C3" s="8" t="inlineStr">
        <is>
          <t>Rows without an exact MPN require part selection.</t>
        </is>
      </c>
      <c r="D3" s="8" t="inlineStr">
        <is>
          <t>Use the value, footprint and listed specifications. Blank DigiKey numbers have not been sourced.</t>
        </is>
      </c>
    </row>
    <row r="4" ht="65" customHeight="1">
      <c r="A4" s="25" t="inlineStr">
        <is>
          <t>DigiKey Upload</t>
        </is>
      </c>
      <c r="B4" s="25" t="inlineStr">
        <is>
          <t>SCOPE</t>
        </is>
      </c>
      <c r="C4" s="25" t="inlineStr">
        <is>
          <t>Only explicit schematic MPNs and non-inferred existing BOM MPNs are included.</t>
        </is>
      </c>
      <c r="D4" s="25" t="inlineStr">
        <is>
          <t>Resolve rows with missing or inferred part numbers on the BOM before adding them to an order.</t>
        </is>
      </c>
    </row>
    <row r="5" ht="65" customHeight="1">
      <c r="A5" s="9" t="inlineStr">
        <is>
          <t>Quantity basis</t>
        </is>
      </c>
      <c r="B5" s="9" t="inlineStr">
        <is>
          <t>INFO</t>
        </is>
      </c>
      <c r="C5" s="9" t="inlineStr">
        <is>
          <t>149 BOM-included board items; one board.</t>
        </is>
      </c>
      <c r="D5" s="9" t="inlineStr">
        <is>
          <t>Excludes: H1, H2, H3, H4, J2, J12 (excluded from BOM in the schematic) and C28, C29, C49, C50 (DNP RF pad positions, intentionally empty). Optional test points and bare wire pads may not require purchased parts.</t>
        </is>
      </c>
    </row>
    <row r="6" ht="65" customHeight="1">
      <c r="A6" s="9" t="inlineStr">
        <is>
          <t>Source</t>
        </is>
      </c>
      <c r="B6" s="9" t="inlineStr">
        <is>
          <t>INFO</t>
        </is>
      </c>
      <c r="C6" s="9" t="inlineStr">
        <is>
          <t>hardware/telemetry.net exported 2026-10-13 (Eeschema 10.0.6), matching schematic and PCB.</t>
        </is>
      </c>
      <c r="D6" s="9" t="inlineStr">
        <is>
          <t>Quantities and footprints use the netlist. Part metadata uses the schematic fields, with antenna-circuit parts from active_antenna_addition_BOM.md.</t>
        </is>
      </c>
    </row>
    <row r="7">
      <c r="A7" s="3" t="n"/>
      <c r="B7" s="3" t="n"/>
      <c r="C7" s="3" t="n"/>
      <c r="D7" s="3" t="n"/>
    </row>
    <row r="8">
      <c r="A8" s="3" t="n"/>
      <c r="B8" s="3" t="n"/>
      <c r="C8" s="3" t="n"/>
      <c r="D8" s="3" t="n"/>
    </row>
    <row r="9">
      <c r="A9" s="3" t="n"/>
      <c r="B9" s="3" t="n"/>
      <c r="C9" s="3" t="n"/>
      <c r="D9" s="3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34" customWidth="1" min="3" max="3"/>
  </cols>
  <sheetData>
    <row r="1">
      <c r="A1" s="7" t="inlineStr">
        <is>
          <t>Manufacturer Part Number</t>
        </is>
      </c>
      <c r="B1" s="7" t="inlineStr">
        <is>
          <t>Quantity</t>
        </is>
      </c>
      <c r="C1" s="7" t="inlineStr">
        <is>
          <t>Customer Reference</t>
        </is>
      </c>
    </row>
    <row r="2" ht="25" customHeight="1">
      <c r="A2" t="inlineStr">
        <is>
          <t>SMBJ16A</t>
        </is>
      </c>
      <c r="B2" s="32" t="n">
        <v>1</v>
      </c>
      <c r="C2" t="inlineStr">
        <is>
          <t>D2</t>
        </is>
      </c>
    </row>
    <row r="3" ht="25" customHeight="1">
      <c r="A3" t="inlineStr">
        <is>
          <t>XL-2012SURUGC</t>
        </is>
      </c>
      <c r="B3" s="32" t="n">
        <v>5</v>
      </c>
      <c r="C3" t="inlineStr">
        <is>
          <t>LED1-LED5</t>
        </is>
      </c>
    </row>
    <row r="4" ht="25" customHeight="1">
      <c r="A4" t="inlineStr">
        <is>
          <t>CJS-1200TB1</t>
        </is>
      </c>
      <c r="B4" s="32" t="n">
        <v>2</v>
      </c>
      <c r="C4" t="inlineStr">
        <is>
          <t>SW1,SW2</t>
        </is>
      </c>
    </row>
    <row r="5" ht="25" customHeight="1">
      <c r="A5" t="inlineStr">
        <is>
          <t>TPS2121RUXR</t>
        </is>
      </c>
      <c r="B5" s="32" t="n">
        <v>1</v>
      </c>
      <c r="C5" t="inlineStr">
        <is>
          <t>U2</t>
        </is>
      </c>
    </row>
    <row r="6" ht="25" customHeight="1">
      <c r="A6" t="inlineStr">
        <is>
          <t>LM2940CT-5.0/LF01</t>
        </is>
      </c>
      <c r="B6" s="32" t="n">
        <v>1</v>
      </c>
      <c r="C6" t="inlineStr">
        <is>
          <t>U5</t>
        </is>
      </c>
    </row>
    <row r="7" ht="25" customHeight="1">
      <c r="A7" t="inlineStr">
        <is>
          <t>TLC59108IPWR</t>
        </is>
      </c>
      <c r="B7" s="32" t="n">
        <v>2</v>
      </c>
      <c r="C7" t="inlineStr">
        <is>
          <t>U8,U9</t>
        </is>
      </c>
    </row>
    <row r="8" ht="25" customHeight="1">
      <c r="A8" t="inlineStr">
        <is>
          <t>LQW15AN56NG00D</t>
        </is>
      </c>
      <c r="B8" s="32" t="n">
        <v>2</v>
      </c>
      <c r="C8" t="inlineStr">
        <is>
          <t>L2,L3</t>
        </is>
      </c>
    </row>
    <row r="9" ht="25" customHeight="1">
      <c r="A9" t="inlineStr">
        <is>
          <t>PESD0402-140</t>
        </is>
      </c>
      <c r="B9" s="32" t="n">
        <v>2</v>
      </c>
      <c r="C9" t="inlineStr">
        <is>
          <t>D4,D5</t>
        </is>
      </c>
    </row>
    <row r="11" ht="34" customHeight="1">
      <c r="A11" s="27" t="inlineStr">
        <is>
          <t>Only source-specified MPNs are listed. Complete missing or inferred part numbers on the BOM before ordering.</t>
        </is>
      </c>
    </row>
  </sheetData>
  <mergeCells count="1">
    <mergeCell ref="A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2026-09-15T05:02:07Z</dcterms:created>
  <dcterms:modified xmlns:dcterms="http://purl.org/dc/terms/" xmlns:xsi="http://www.w3.org/2001/XMLSchema-instance" xsi:type="dcterms:W3CDTF">2026-10-23T03:53:59Z</dcterms:modified>
</cp:coreProperties>
</file>