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th\Desktop\ANUFS-Telemetry\"/>
    </mc:Choice>
  </mc:AlternateContent>
  <xr:revisionPtr revIDLastSave="0" documentId="13_ncr:1_{09A1C928-16C7-4C8E-9A8A-7B45CEE0D8EC}" xr6:coauthVersionLast="47" xr6:coauthVersionMax="47" xr10:uidLastSave="{00000000-0000-0000-0000-000000000000}"/>
  <bookViews>
    <workbookView minimized="1" xWindow="3120" yWindow="3120" windowWidth="28800" windowHeight="15225" xr2:uid="{00000000-000D-0000-FFFF-FFFF00000000}"/>
  </bookViews>
  <sheets>
    <sheet name="Summary" sheetId="1" r:id="rId1"/>
    <sheet name="Rail Budget" sheetId="2" r:id="rId2"/>
    <sheet name="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H24" i="2" s="1"/>
  <c r="C11" i="1" s="1"/>
  <c r="G17" i="2"/>
  <c r="G24" i="2" s="1"/>
  <c r="H16" i="2"/>
  <c r="K16" i="2" s="1"/>
  <c r="G16" i="2"/>
  <c r="J16" i="2" s="1"/>
  <c r="J15" i="2"/>
  <c r="H15" i="2"/>
  <c r="K15" i="2" s="1"/>
  <c r="G15" i="2"/>
  <c r="K14" i="2"/>
  <c r="J14" i="2"/>
  <c r="H14" i="2"/>
  <c r="G14" i="2"/>
  <c r="K13" i="2"/>
  <c r="H13" i="2"/>
  <c r="G13" i="2"/>
  <c r="J13" i="2" s="1"/>
  <c r="K12" i="2"/>
  <c r="H12" i="2"/>
  <c r="G12" i="2"/>
  <c r="J12" i="2" s="1"/>
  <c r="K11" i="2"/>
  <c r="H11" i="2"/>
  <c r="G11" i="2"/>
  <c r="J11" i="2" s="1"/>
  <c r="K10" i="2"/>
  <c r="H10" i="2"/>
  <c r="G10" i="2"/>
  <c r="J10" i="2" s="1"/>
  <c r="H9" i="2"/>
  <c r="K9" i="2" s="1"/>
  <c r="G9" i="2"/>
  <c r="J9" i="2" s="1"/>
  <c r="J8" i="2"/>
  <c r="H8" i="2"/>
  <c r="K8" i="2" s="1"/>
  <c r="G8" i="2"/>
  <c r="J7" i="2"/>
  <c r="H7" i="2"/>
  <c r="K7" i="2" s="1"/>
  <c r="G7" i="2"/>
  <c r="J6" i="2"/>
  <c r="J21" i="2" s="1"/>
  <c r="B7" i="1" s="1"/>
  <c r="H6" i="2"/>
  <c r="K6" i="2" s="1"/>
  <c r="K21" i="2" s="1"/>
  <c r="C7" i="1" s="1"/>
  <c r="G6" i="2"/>
  <c r="G21" i="2" s="1"/>
  <c r="Q8" i="2" l="1"/>
  <c r="Q13" i="2" s="1"/>
  <c r="B8" i="1" s="1"/>
  <c r="B6" i="1"/>
  <c r="Q15" i="2"/>
  <c r="B12" i="1" s="1"/>
  <c r="B11" i="1"/>
  <c r="Q16" i="2"/>
  <c r="H21" i="2"/>
  <c r="J17" i="2"/>
  <c r="J24" i="2" s="1"/>
  <c r="K17" i="2"/>
  <c r="K24" i="2" s="1"/>
  <c r="Q9" i="2" l="1"/>
  <c r="Q14" i="2" s="1"/>
  <c r="C6" i="1"/>
  <c r="D6" i="1" s="1"/>
  <c r="Q20" i="2"/>
  <c r="B13" i="1"/>
  <c r="Q19" i="2" l="1"/>
  <c r="C8" i="1"/>
  <c r="D8" i="1" s="1"/>
</calcChain>
</file>

<file path=xl/sharedStrings.xml><?xml version="1.0" encoding="utf-8"?>
<sst xmlns="http://schemas.openxmlformats.org/spreadsheetml/2006/main" count="202" uniqueCount="169">
  <si>
    <t>Telemetry Power Budget</t>
  </si>
  <si>
    <t>Initial component-level estimate from the 13 September 2026 netlist. Yellow cells in Rail Budget are editable assumptions requiring bench confirmation.</t>
  </si>
  <si>
    <t>3.3 V rail</t>
  </si>
  <si>
    <t>Normal operating</t>
  </si>
  <si>
    <t>Conservative peak envelope</t>
  </si>
  <si>
    <t>Assessment</t>
  </si>
  <si>
    <t>Load current</t>
  </si>
  <si>
    <t>Output power</t>
  </si>
  <si>
    <t>3.3 V load only</t>
  </si>
  <si>
    <t>If 5.15 V → 3.3 V LDO</t>
  </si>
  <si>
    <t>5 V LED rail</t>
  </si>
  <si>
    <t>Peak</t>
  </si>
  <si>
    <t>LED rail current</t>
  </si>
  <si>
    <t>10 channels × 10 mA</t>
  </si>
  <si>
    <t>Existing U11 loss at 12 V</t>
  </si>
  <si>
    <t>Current architecture</t>
  </si>
  <si>
    <t>Existing U11 loss at 14.4 V</t>
  </si>
  <si>
    <t>Decision guidance</t>
  </si>
  <si>
    <t>The current +5 V LDO must dissipate the LED-rail voltage drop. A 5 V → 3.3 V SOT-23 LDO would instead dissipate the 3.3 V rail loss shown above. The conservative peak envelope combines events that may not be simultaneous; it is a supply-sizing bound, not a continuous-load claim.</t>
  </si>
  <si>
    <t>Recommended next step: measure the 3.3 V rail in GNSS acquisition, microSD write and CAN dominant traffic. Keep the LMR33610 as the 3.3 V buck unless measured current and thermal testing justify a smaller linear rail.</t>
  </si>
  <si>
    <t>Rail Consumer Budget</t>
  </si>
  <si>
    <t>Regulator Loss Check</t>
  </si>
  <si>
    <t>Inputs marked in yellow are initial design values. Values are mA at the named rail; source details and verification requirements are on Sources.</t>
  </si>
  <si>
    <t>Input</t>
  </si>
  <si>
    <t>Value</t>
  </si>
  <si>
    <t>Rail</t>
  </si>
  <si>
    <t>Reference</t>
  </si>
  <si>
    <t>Consumer</t>
  </si>
  <si>
    <t>Qty</t>
  </si>
  <si>
    <t>Nominal mA / unit</t>
  </si>
  <si>
    <t>Peak mA / unit</t>
  </si>
  <si>
    <t>Nominal mA</t>
  </si>
  <si>
    <t>Peak mA</t>
  </si>
  <si>
    <t>Rail V</t>
  </si>
  <si>
    <t>Nominal W</t>
  </si>
  <si>
    <t>Peak W</t>
  </si>
  <si>
    <t>Basis</t>
  </si>
  <si>
    <t>Source ID</t>
  </si>
  <si>
    <t>Verification needed</t>
  </si>
  <si>
    <t>Proposed 3.3 V LDO input</t>
  </si>
  <si>
    <t>+3.3V</t>
  </si>
  <si>
    <t>U3</t>
  </si>
  <si>
    <t>LC29HBAMD VCC</t>
  </si>
  <si>
    <t>30 mA supplied for LC29H (BA); peak is an engineering allowance</t>
  </si>
  <si>
    <t>S1</t>
  </si>
  <si>
    <t>Measure GNSS acquisition/start-up</t>
  </si>
  <si>
    <t>3.3 V output</t>
  </si>
  <si>
    <t>Active GNSS antenna through VDD_RF</t>
  </si>
  <si>
    <t>Antenna selection not yet specified</t>
  </si>
  <si>
    <t>A1</t>
  </si>
  <si>
    <t>Replace with selected antenna maximum</t>
  </si>
  <si>
    <t>MCP1703 rating (mA)</t>
  </si>
  <si>
    <t>U5</t>
  </si>
  <si>
    <t>STM32H523RCT7</t>
  </si>
  <si>
    <t>250 MHz run-mode typical plus peripheral allowance</t>
  </si>
  <si>
    <t>S2</t>
  </si>
  <si>
    <t>Measure firmware worst case</t>
  </si>
  <si>
    <t>3.3 V normal current (mA)</t>
  </si>
  <si>
    <t>J7</t>
  </si>
  <si>
    <t>microSD card</t>
  </si>
  <si>
    <t>Card-specific; not defined in BOM</t>
  </si>
  <si>
    <t>A2</t>
  </si>
  <si>
    <t>Measure selected card write burst</t>
  </si>
  <si>
    <t>3.3 V peak envelope (mA)</t>
  </si>
  <si>
    <t>U4</t>
  </si>
  <si>
    <t>TCAN337 CAN #1</t>
  </si>
  <si>
    <t>Recessive typical; dominant high-bus-load bound</t>
  </si>
  <si>
    <t>S3</t>
  </si>
  <si>
    <t>Confirm actual bus load and duty</t>
  </si>
  <si>
    <t>U6</t>
  </si>
  <si>
    <t>TCAN337 CAN #2</t>
  </si>
  <si>
    <t>U9</t>
  </si>
  <si>
    <t>TLC59108 LED driver #1</t>
  </si>
  <si>
    <t>Supply current table; outputs configured through 1.87 kΩ REXT</t>
  </si>
  <si>
    <t>S4</t>
  </si>
  <si>
    <t>Measure configured mode</t>
  </si>
  <si>
    <t>Calculation</t>
  </si>
  <si>
    <t>Loss</t>
  </si>
  <si>
    <t>U10</t>
  </si>
  <si>
    <t>TLC59108 LED driver #2</t>
  </si>
  <si>
    <t>5.15 V → 3.3 V, normal</t>
  </si>
  <si>
    <t>U2</t>
  </si>
  <si>
    <t>ASM330LHHXG1TR IMU</t>
  </si>
  <si>
    <t>Gyro + accelerometer at 1.6 kHz</t>
  </si>
  <si>
    <t>S5</t>
  </si>
  <si>
    <t>Confirm selected ODR</t>
  </si>
  <si>
    <t>5.15 V → 3.3 V, peak envelope</t>
  </si>
  <si>
    <t>U13</t>
  </si>
  <si>
    <t>TXS0108E level shifter</t>
  </si>
  <si>
    <t>Initial allowance; I/O loading dependent</t>
  </si>
  <si>
    <t>A3</t>
  </si>
  <si>
    <t>Measure I/O traffic</t>
  </si>
  <si>
    <t>Existing 12 V → 5 V LED LDO</t>
  </si>
  <si>
    <t>passives</t>
  </si>
  <si>
    <t>Pull-ups, indicators and margin</t>
  </si>
  <si>
    <t>Explicit engineering allowance</t>
  </si>
  <si>
    <t>A4</t>
  </si>
  <si>
    <t>Replace after rail measurement</t>
  </si>
  <si>
    <t>Existing 14.4 V → 5 V LED LDO</t>
  </si>
  <si>
    <t>+5V</t>
  </si>
  <si>
    <t>LED1–LED5</t>
  </si>
  <si>
    <t>Ten LED die at 10 mA</t>
  </si>
  <si>
    <t>R27/R28 = 1.87 kΩ, 10 mA/channel default setting</t>
  </si>
  <si>
    <t>Confirm firmware maximum PWM duty</t>
  </si>
  <si>
    <t>Interpretation</t>
  </si>
  <si>
    <t>SOT-23 3.3 V LDO</t>
  </si>
  <si>
    <t>Current +5 V LDO</t>
  </si>
  <si>
    <t>+3.3V total</t>
  </si>
  <si>
    <t>Sum of +3.3 V consumer rows</t>
  </si>
  <si>
    <t>Peak envelope is not a continuous-load claim</t>
  </si>
  <si>
    <t>+5V total</t>
  </si>
  <si>
    <t>Sum of +5 V consumer rows</t>
  </si>
  <si>
    <t>LED rail only in present netlist</t>
  </si>
  <si>
    <t>Sources and Assumption Register</t>
  </si>
  <si>
    <t>Source IDs in Rail Budget identify whether a number comes from a data sheet (S) or is an engineering assumption pending measurement (A).</t>
  </si>
  <si>
    <t>ID</t>
  </si>
  <si>
    <t>Component / item</t>
  </si>
  <si>
    <t>Data used</t>
  </si>
  <si>
    <t>Source</t>
  </si>
  <si>
    <t>Use in budget</t>
  </si>
  <si>
    <t>Status</t>
  </si>
  <si>
    <t>Quectel LC29H (BA) / LC29HBAMD</t>
  </si>
  <si>
    <t>30 mA acquisition and tracking; VDD_RF feeds active antenna</t>
  </si>
  <si>
    <t>Quectel LC29H Hardware Design V1.0, Table 3 and section 3</t>
  </si>
  <si>
    <t>U3 base load</t>
  </si>
  <si>
    <t>Verify LC29HBAMD suffix and startup peak</t>
  </si>
  <si>
    <t>110 µA/MHz typical at 250 MHz = 27.5 mA before peripherals</t>
  </si>
  <si>
    <t>ST STM32H523/533 product page</t>
  </si>
  <si>
    <t>U5 normal operating estimate</t>
  </si>
  <si>
    <t>Peak is an engineering allowance</t>
  </si>
  <si>
    <t>TCAN337</t>
  </si>
  <si>
    <t>3.5 mA recessive typical; 60 mA dominant high-bus-load bound</t>
  </si>
  <si>
    <t>TI TCAN337 datasheet, electrical characteristics</t>
  </si>
  <si>
    <t>U4/U6 rail envelope</t>
  </si>
  <si>
    <t>Measure duty cycle and bus termination</t>
  </si>
  <si>
    <t>TLC59108</t>
  </si>
  <si>
    <t>17 mA supply current typical; 10 mA/channel from selected 1.87 kΩ REXT setting</t>
  </si>
  <si>
    <t>TI TLC59108 data sheet</t>
  </si>
  <si>
    <t>U9/U10 logic load and LED rail</t>
  </si>
  <si>
    <t>Confirm firmware mode and PWM</t>
  </si>
  <si>
    <t>ASM330LHHXG1TR</t>
  </si>
  <si>
    <t>1.3 mA typical and 1.6 mA maximum at 1.6 kHz combo mode</t>
  </si>
  <si>
    <t>ST ASM330LHHX data sheet, Table 3</t>
  </si>
  <si>
    <t>U2 load</t>
  </si>
  <si>
    <t>Active GNSS antenna</t>
  </si>
  <si>
    <t>20 mA normal / 40 mA peak</t>
  </si>
  <si>
    <t>No antenna part selected</t>
  </si>
  <si>
    <t>VDD_RF external load</t>
  </si>
  <si>
    <t>Replace with antenna data sheet</t>
  </si>
  <si>
    <t>50 mA normal / 200 mA peak</t>
  </si>
  <si>
    <t>No card part selected</t>
  </si>
  <si>
    <t>J7 external load</t>
  </si>
  <si>
    <t>Replace with selected card data sheet and measurement</t>
  </si>
  <si>
    <t>TXS0108E</t>
  </si>
  <si>
    <t>0.1 mA normal / 2 mA peak</t>
  </si>
  <si>
    <t>I/O load dependent</t>
  </si>
  <si>
    <t>U13 allowance</t>
  </si>
  <si>
    <t>Measure after I/O configuration is fixed</t>
  </si>
  <si>
    <t>Passives and unlisted rail load</t>
  </si>
  <si>
    <t>2 mA normal / 5 mA peak</t>
  </si>
  <si>
    <t>Engineering allowance</t>
  </si>
  <si>
    <t>Rail margin</t>
  </si>
  <si>
    <t>Replace after board-current measurement</t>
  </si>
  <si>
    <t>N1</t>
  </si>
  <si>
    <t>Netlist scope</t>
  </si>
  <si>
    <t>telemetry-rext-fixed-netlist.xml exported 13 Sep 2026</t>
  </si>
  <si>
    <t>Current KiCad schematic / netlist</t>
  </si>
  <si>
    <t>Component connectivity and rail membership</t>
  </si>
  <si>
    <t>Repeat export after schematic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</si>
</sst>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mA&quot;"/>
    <numFmt numFmtId="165" formatCode="0.000&quot; W&quot;"/>
    <numFmt numFmtId="166" formatCode="0.0"/>
    <numFmt numFmtId="167" formatCode="0.0&quot; V&quot;"/>
  </numFmts>
  <fonts count="8" x14ac:knownFonts="1">
    <font>
      <sz val="11"/>
      <name val="Carlito"/>
    </font>
    <font>
      <sz val="10"/>
      <color rgb="FF1F1F1F"/>
      <name val="Arial"/>
    </font>
    <font>
      <b/>
      <sz val="16"/>
      <color rgb="FF17365D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5"/>
      <color rgb="FF17365D"/>
      <name val="Arial"/>
    </font>
    <font>
      <b/>
      <sz val="10"/>
      <color rgb="FF1F1F1F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1E6EB"/>
      </left>
      <right style="thin">
        <color rgb="FFE1E6EB"/>
      </right>
      <top style="thin">
        <color rgb="FFE1E6EB"/>
      </top>
      <bottom style="thin">
        <color rgb="FFE1E6E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165" fontId="1" fillId="0" borderId="9" xfId="0" applyNumberFormat="1" applyFont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1" fontId="1" fillId="0" borderId="13" xfId="0" applyNumberFormat="1" applyFont="1" applyBorder="1" applyAlignment="1">
      <alignment vertical="center"/>
    </xf>
    <xf numFmtId="166" fontId="1" fillId="5" borderId="13" xfId="0" applyNumberFormat="1" applyFont="1" applyFill="1" applyBorder="1" applyAlignment="1">
      <alignment vertical="center"/>
    </xf>
    <xf numFmtId="166" fontId="1" fillId="0" borderId="13" xfId="0" applyNumberFormat="1" applyFont="1" applyBorder="1" applyAlignment="1">
      <alignment vertical="center"/>
    </xf>
    <xf numFmtId="167" fontId="1" fillId="0" borderId="13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166" fontId="1" fillId="5" borderId="9" xfId="0" applyNumberFormat="1" applyFont="1" applyFill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7" fillId="4" borderId="10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166" fontId="7" fillId="4" borderId="11" xfId="0" applyNumberFormat="1" applyFont="1" applyFill="1" applyBorder="1" applyAlignment="1">
      <alignment vertical="center"/>
    </xf>
    <xf numFmtId="167" fontId="7" fillId="4" borderId="11" xfId="0" applyNumberFormat="1" applyFont="1" applyFill="1" applyBorder="1" applyAlignment="1">
      <alignment vertical="center"/>
    </xf>
    <xf numFmtId="165" fontId="7" fillId="4" borderId="11" xfId="0" applyNumberFormat="1" applyFont="1" applyFill="1" applyBorder="1" applyAlignment="1">
      <alignment vertical="center"/>
    </xf>
    <xf numFmtId="0" fontId="7" fillId="4" borderId="11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200"/>
  <sheetViews>
    <sheetView showGridLines="0" tabSelected="1" workbookViewId="0">
      <selection activeCell="A24" sqref="A24"/>
    </sheetView>
  </sheetViews>
  <sheetFormatPr defaultRowHeight="15" x14ac:dyDescent="0.25"/>
  <cols>
    <col min="1" max="1" width="22.5" customWidth="1"/>
    <col min="2" max="2" width="14.375" customWidth="1"/>
    <col min="3" max="3" width="18.75" customWidth="1"/>
    <col min="4" max="4" width="28.75" customWidth="1"/>
    <col min="5" max="5" width="2.5" customWidth="1"/>
    <col min="6" max="8" width="2.25" customWidth="1"/>
  </cols>
  <sheetData>
    <row r="1" spans="1:26" ht="8.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1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3.950000000000003" customHeight="1" x14ac:dyDescent="0.25">
      <c r="A3" s="31" t="s">
        <v>1</v>
      </c>
      <c r="B3" s="30"/>
      <c r="C3" s="30"/>
      <c r="D3" s="30"/>
      <c r="E3" s="30"/>
      <c r="F3" s="30"/>
      <c r="G3" s="30"/>
      <c r="H3" s="3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x14ac:dyDescent="0.25">
      <c r="A5" s="1" t="s">
        <v>2</v>
      </c>
      <c r="B5" s="1" t="s">
        <v>3</v>
      </c>
      <c r="C5" s="1" t="s">
        <v>4</v>
      </c>
      <c r="D5" s="1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6</v>
      </c>
      <c r="B6" s="5">
        <f>'Rail Budget'!G21</f>
        <v>174.4</v>
      </c>
      <c r="C6" s="5">
        <f>'Rail Budget'!H21</f>
        <v>584.6</v>
      </c>
      <c r="D6" s="4" t="str">
        <f>IF(C6&gt;250,"Exceeds MCP1703 250 mA rating","Below rating; thermal check still required")</f>
        <v>Exceeds MCP1703 250 mA rating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7</v>
      </c>
      <c r="B7" s="6">
        <f>'Rail Budget'!J21</f>
        <v>0.57552000000000025</v>
      </c>
      <c r="C7" s="6">
        <f>'Rail Budget'!K21</f>
        <v>1.9291799999999999</v>
      </c>
      <c r="D7" s="4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 t="s">
        <v>9</v>
      </c>
      <c r="B8" s="6">
        <f>'Rail Budget'!Q13</f>
        <v>0.32264000000000009</v>
      </c>
      <c r="C8" s="6">
        <f>'Rail Budget'!Q14</f>
        <v>1.0815100000000004</v>
      </c>
      <c r="D8" s="4" t="str">
        <f>IF(C8&gt;0.25,"Do not use MCP1703 SOT-23 for this rail","Prototype thermal test required")</f>
        <v>Do not use MCP1703 SOT-23 for this rail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/>
      <c r="B9" s="4"/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x14ac:dyDescent="0.25">
      <c r="A10" s="1" t="s">
        <v>10</v>
      </c>
      <c r="B10" s="1" t="s">
        <v>3</v>
      </c>
      <c r="C10" s="1" t="s">
        <v>11</v>
      </c>
      <c r="D10" s="1" t="s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 t="s">
        <v>12</v>
      </c>
      <c r="B11" s="5">
        <f>'Rail Budget'!G24</f>
        <v>100</v>
      </c>
      <c r="C11" s="5">
        <f>'Rail Budget'!H24</f>
        <v>100</v>
      </c>
      <c r="D11" s="4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4" t="s">
        <v>14</v>
      </c>
      <c r="B12" s="6">
        <f>'Rail Budget'!Q15</f>
        <v>0.7</v>
      </c>
      <c r="C12" s="4"/>
      <c r="D12" s="4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4" t="s">
        <v>16</v>
      </c>
      <c r="B13" s="6">
        <f>'Rail Budget'!Q16</f>
        <v>0.94</v>
      </c>
      <c r="C13" s="4"/>
      <c r="D13" s="4" t="s">
        <v>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2" t="s">
        <v>17</v>
      </c>
      <c r="B15" s="30"/>
      <c r="C15" s="30"/>
      <c r="D15" s="30"/>
      <c r="E15" s="30"/>
      <c r="F15" s="30"/>
      <c r="G15" s="30"/>
      <c r="H15" s="3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0.75" customHeight="1" x14ac:dyDescent="0.25">
      <c r="A16" s="33" t="s">
        <v>18</v>
      </c>
      <c r="B16" s="34"/>
      <c r="C16" s="34"/>
      <c r="D16" s="34"/>
      <c r="E16" s="34"/>
      <c r="F16" s="34"/>
      <c r="G16" s="34"/>
      <c r="H16" s="3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6"/>
      <c r="B17" s="37"/>
      <c r="C17" s="37"/>
      <c r="D17" s="37"/>
      <c r="E17" s="37"/>
      <c r="F17" s="37"/>
      <c r="G17" s="37"/>
      <c r="H17" s="3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5.25" customHeight="1" x14ac:dyDescent="0.25">
      <c r="A18" s="36" t="s">
        <v>19</v>
      </c>
      <c r="B18" s="37"/>
      <c r="C18" s="37"/>
      <c r="D18" s="37"/>
      <c r="E18" s="37"/>
      <c r="F18" s="37"/>
      <c r="G18" s="37"/>
      <c r="H18" s="3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9"/>
      <c r="B19" s="40"/>
      <c r="C19" s="40"/>
      <c r="D19" s="40"/>
      <c r="E19" s="40"/>
      <c r="F19" s="40"/>
      <c r="G19" s="40"/>
      <c r="H19" s="4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7">
    <mergeCell ref="A18:H18"/>
    <mergeCell ref="A19:H19"/>
    <mergeCell ref="A2:H2"/>
    <mergeCell ref="A3:H3"/>
    <mergeCell ref="A15:H15"/>
    <mergeCell ref="A16:H16"/>
    <mergeCell ref="A17:H17"/>
  </mergeCells>
  <conditionalFormatting sqref="D6:D8">
    <cfRule type="containsText" dxfId="1" priority="1" operator="containsText" text="Exceeds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2" width="9.375" customWidth="1"/>
    <col min="3" max="3" width="25.625" customWidth="1"/>
    <col min="4" max="4" width="5.25" customWidth="1"/>
    <col min="5" max="5" width="11" customWidth="1"/>
    <col min="6" max="6" width="10" customWidth="1"/>
    <col min="7" max="8" width="9.5" customWidth="1"/>
    <col min="9" max="9" width="7.25" customWidth="1"/>
    <col min="10" max="10" width="9.75" customWidth="1"/>
    <col min="11" max="11" width="9" customWidth="1"/>
    <col min="12" max="12" width="28.75" customWidth="1"/>
    <col min="13" max="13" width="6.75" customWidth="1"/>
    <col min="14" max="14" width="21.25" customWidth="1"/>
    <col min="15" max="15" width="2.25" customWidth="1"/>
    <col min="16" max="16" width="25.625" customWidth="1"/>
    <col min="17" max="17" width="32.5" customWidth="1"/>
  </cols>
  <sheetData>
    <row r="1" spans="1:2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1" customHeight="1" x14ac:dyDescent="0.25">
      <c r="A2" s="42" t="s">
        <v>20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"/>
      <c r="P2" s="32" t="s">
        <v>21</v>
      </c>
      <c r="Q2" s="30"/>
      <c r="R2" s="3"/>
      <c r="S2" s="3"/>
      <c r="T2" s="3"/>
      <c r="U2" s="3"/>
      <c r="V2" s="3"/>
      <c r="W2" s="3"/>
      <c r="X2" s="3"/>
      <c r="Y2" s="3"/>
      <c r="Z2" s="3"/>
    </row>
    <row r="3" spans="1:26" ht="32.1" customHeight="1" x14ac:dyDescent="0.25">
      <c r="A3" s="43" t="s">
        <v>22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 t="s">
        <v>23</v>
      </c>
      <c r="Q4" s="1" t="s">
        <v>24</v>
      </c>
      <c r="R4" s="3"/>
      <c r="S4" s="3"/>
      <c r="T4" s="3"/>
      <c r="U4" s="3"/>
      <c r="V4" s="3"/>
      <c r="W4" s="3"/>
      <c r="X4" s="3"/>
      <c r="Y4" s="3"/>
      <c r="Z4" s="3"/>
    </row>
    <row r="5" spans="1:26" ht="25.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3"/>
      <c r="P5" s="4" t="s">
        <v>39</v>
      </c>
      <c r="Q5" s="7">
        <v>5.15</v>
      </c>
      <c r="R5" s="3"/>
      <c r="S5" s="3"/>
      <c r="T5" s="3"/>
      <c r="U5" s="3"/>
      <c r="V5" s="3"/>
      <c r="W5" s="3"/>
      <c r="X5" s="3"/>
      <c r="Y5" s="3"/>
      <c r="Z5" s="3"/>
    </row>
    <row r="6" spans="1:26" ht="25.5" x14ac:dyDescent="0.25">
      <c r="A6" s="8" t="s">
        <v>40</v>
      </c>
      <c r="B6" s="8" t="s">
        <v>41</v>
      </c>
      <c r="C6" s="8" t="s">
        <v>42</v>
      </c>
      <c r="D6" s="9">
        <v>1</v>
      </c>
      <c r="E6" s="10">
        <v>30</v>
      </c>
      <c r="F6" s="10">
        <v>100</v>
      </c>
      <c r="G6" s="11">
        <f t="shared" ref="G6:G17" si="0">D6*E6</f>
        <v>30</v>
      </c>
      <c r="H6" s="11">
        <f t="shared" ref="H6:H17" si="1">D6*F6</f>
        <v>100</v>
      </c>
      <c r="I6" s="12">
        <v>3.3</v>
      </c>
      <c r="J6" s="13">
        <f t="shared" ref="J6:J17" si="2">G6*I6/1000</f>
        <v>9.9000000000000005E-2</v>
      </c>
      <c r="K6" s="13">
        <f t="shared" ref="K6:K17" si="3">H6*I6/1000</f>
        <v>0.33</v>
      </c>
      <c r="L6" s="14" t="s">
        <v>43</v>
      </c>
      <c r="M6" s="14" t="s">
        <v>44</v>
      </c>
      <c r="N6" s="14" t="s">
        <v>45</v>
      </c>
      <c r="O6" s="3"/>
      <c r="P6" s="4" t="s">
        <v>46</v>
      </c>
      <c r="Q6" s="7">
        <v>3.3</v>
      </c>
      <c r="R6" s="3"/>
      <c r="S6" s="3"/>
      <c r="T6" s="3"/>
      <c r="U6" s="3"/>
      <c r="V6" s="3"/>
      <c r="W6" s="3"/>
      <c r="X6" s="3"/>
      <c r="Y6" s="3"/>
      <c r="Z6" s="3"/>
    </row>
    <row r="7" spans="1:26" ht="25.5" x14ac:dyDescent="0.25">
      <c r="A7" s="8" t="s">
        <v>40</v>
      </c>
      <c r="B7" s="8" t="s">
        <v>41</v>
      </c>
      <c r="C7" s="8" t="s">
        <v>47</v>
      </c>
      <c r="D7" s="9">
        <v>1</v>
      </c>
      <c r="E7" s="10">
        <v>20</v>
      </c>
      <c r="F7" s="10">
        <v>40</v>
      </c>
      <c r="G7" s="11">
        <f t="shared" si="0"/>
        <v>20</v>
      </c>
      <c r="H7" s="11">
        <f t="shared" si="1"/>
        <v>40</v>
      </c>
      <c r="I7" s="12">
        <v>3.3</v>
      </c>
      <c r="J7" s="13">
        <f t="shared" si="2"/>
        <v>6.6000000000000003E-2</v>
      </c>
      <c r="K7" s="13">
        <f t="shared" si="3"/>
        <v>0.13200000000000001</v>
      </c>
      <c r="L7" s="14" t="s">
        <v>48</v>
      </c>
      <c r="M7" s="14" t="s">
        <v>49</v>
      </c>
      <c r="N7" s="14" t="s">
        <v>50</v>
      </c>
      <c r="O7" s="3"/>
      <c r="P7" s="4" t="s">
        <v>51</v>
      </c>
      <c r="Q7" s="15">
        <v>250</v>
      </c>
      <c r="R7" s="3"/>
      <c r="S7" s="3"/>
      <c r="T7" s="3"/>
      <c r="U7" s="3"/>
      <c r="V7" s="3"/>
      <c r="W7" s="3"/>
      <c r="X7" s="3"/>
      <c r="Y7" s="3"/>
      <c r="Z7" s="3"/>
    </row>
    <row r="8" spans="1:26" ht="25.5" x14ac:dyDescent="0.25">
      <c r="A8" s="8" t="s">
        <v>40</v>
      </c>
      <c r="B8" s="8" t="s">
        <v>52</v>
      </c>
      <c r="C8" s="8" t="s">
        <v>53</v>
      </c>
      <c r="D8" s="9">
        <v>1</v>
      </c>
      <c r="E8" s="10">
        <v>30</v>
      </c>
      <c r="F8" s="10">
        <v>60</v>
      </c>
      <c r="G8" s="11">
        <f t="shared" si="0"/>
        <v>30</v>
      </c>
      <c r="H8" s="11">
        <f t="shared" si="1"/>
        <v>60</v>
      </c>
      <c r="I8" s="12">
        <v>3.3</v>
      </c>
      <c r="J8" s="13">
        <f t="shared" si="2"/>
        <v>9.9000000000000005E-2</v>
      </c>
      <c r="K8" s="13">
        <f t="shared" si="3"/>
        <v>0.19800000000000001</v>
      </c>
      <c r="L8" s="14" t="s">
        <v>54</v>
      </c>
      <c r="M8" s="14" t="s">
        <v>55</v>
      </c>
      <c r="N8" s="14" t="s">
        <v>56</v>
      </c>
      <c r="O8" s="3"/>
      <c r="P8" s="4" t="s">
        <v>57</v>
      </c>
      <c r="Q8" s="16">
        <f>G21</f>
        <v>174.4</v>
      </c>
      <c r="R8" s="3"/>
      <c r="S8" s="3"/>
      <c r="T8" s="3"/>
      <c r="U8" s="3"/>
      <c r="V8" s="3"/>
      <c r="W8" s="3"/>
      <c r="X8" s="3"/>
      <c r="Y8" s="3"/>
      <c r="Z8" s="3"/>
    </row>
    <row r="9" spans="1:26" ht="25.5" x14ac:dyDescent="0.25">
      <c r="A9" s="8" t="s">
        <v>40</v>
      </c>
      <c r="B9" s="8" t="s">
        <v>58</v>
      </c>
      <c r="C9" s="8" t="s">
        <v>59</v>
      </c>
      <c r="D9" s="9">
        <v>1</v>
      </c>
      <c r="E9" s="10">
        <v>50</v>
      </c>
      <c r="F9" s="10">
        <v>200</v>
      </c>
      <c r="G9" s="11">
        <f t="shared" si="0"/>
        <v>50</v>
      </c>
      <c r="H9" s="11">
        <f t="shared" si="1"/>
        <v>200</v>
      </c>
      <c r="I9" s="12">
        <v>3.3</v>
      </c>
      <c r="J9" s="13">
        <f t="shared" si="2"/>
        <v>0.16500000000000001</v>
      </c>
      <c r="K9" s="13">
        <f t="shared" si="3"/>
        <v>0.66</v>
      </c>
      <c r="L9" s="14" t="s">
        <v>60</v>
      </c>
      <c r="M9" s="14" t="s">
        <v>61</v>
      </c>
      <c r="N9" s="14" t="s">
        <v>62</v>
      </c>
      <c r="O9" s="3"/>
      <c r="P9" s="4" t="s">
        <v>63</v>
      </c>
      <c r="Q9" s="16">
        <f>H21</f>
        <v>584.6</v>
      </c>
      <c r="R9" s="3"/>
      <c r="S9" s="3"/>
      <c r="T9" s="3"/>
      <c r="U9" s="3"/>
      <c r="V9" s="3"/>
      <c r="W9" s="3"/>
      <c r="X9" s="3"/>
      <c r="Y9" s="3"/>
      <c r="Z9" s="3"/>
    </row>
    <row r="10" spans="1:26" ht="25.5" x14ac:dyDescent="0.25">
      <c r="A10" s="8" t="s">
        <v>40</v>
      </c>
      <c r="B10" s="8" t="s">
        <v>64</v>
      </c>
      <c r="C10" s="8" t="s">
        <v>65</v>
      </c>
      <c r="D10" s="9">
        <v>1</v>
      </c>
      <c r="E10" s="10">
        <v>3.5</v>
      </c>
      <c r="F10" s="10">
        <v>60</v>
      </c>
      <c r="G10" s="11">
        <f t="shared" si="0"/>
        <v>3.5</v>
      </c>
      <c r="H10" s="11">
        <f t="shared" si="1"/>
        <v>60</v>
      </c>
      <c r="I10" s="12">
        <v>3.3</v>
      </c>
      <c r="J10" s="13">
        <f t="shared" si="2"/>
        <v>1.155E-2</v>
      </c>
      <c r="K10" s="13">
        <f t="shared" si="3"/>
        <v>0.19800000000000001</v>
      </c>
      <c r="L10" s="14" t="s">
        <v>66</v>
      </c>
      <c r="M10" s="14" t="s">
        <v>67</v>
      </c>
      <c r="N10" s="14" t="s">
        <v>68</v>
      </c>
      <c r="O10" s="3"/>
      <c r="P10" s="4"/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25.5" x14ac:dyDescent="0.25">
      <c r="A11" s="8" t="s">
        <v>40</v>
      </c>
      <c r="B11" s="8" t="s">
        <v>69</v>
      </c>
      <c r="C11" s="8" t="s">
        <v>70</v>
      </c>
      <c r="D11" s="9">
        <v>1</v>
      </c>
      <c r="E11" s="10">
        <v>3.5</v>
      </c>
      <c r="F11" s="10">
        <v>60</v>
      </c>
      <c r="G11" s="11">
        <f t="shared" si="0"/>
        <v>3.5</v>
      </c>
      <c r="H11" s="11">
        <f t="shared" si="1"/>
        <v>60</v>
      </c>
      <c r="I11" s="12">
        <v>3.3</v>
      </c>
      <c r="J11" s="13">
        <f t="shared" si="2"/>
        <v>1.155E-2</v>
      </c>
      <c r="K11" s="13">
        <f t="shared" si="3"/>
        <v>0.19800000000000001</v>
      </c>
      <c r="L11" s="14" t="s">
        <v>66</v>
      </c>
      <c r="M11" s="14" t="s">
        <v>67</v>
      </c>
      <c r="N11" s="14" t="s">
        <v>68</v>
      </c>
      <c r="O11" s="3"/>
      <c r="P11" s="4"/>
      <c r="Q11" s="4"/>
      <c r="R11" s="3"/>
      <c r="S11" s="3"/>
      <c r="T11" s="3"/>
      <c r="U11" s="3"/>
      <c r="V11" s="3"/>
      <c r="W11" s="3"/>
      <c r="X11" s="3"/>
      <c r="Y11" s="3"/>
      <c r="Z11" s="3"/>
    </row>
    <row r="12" spans="1:26" ht="25.5" x14ac:dyDescent="0.25">
      <c r="A12" s="8" t="s">
        <v>40</v>
      </c>
      <c r="B12" s="8" t="s">
        <v>71</v>
      </c>
      <c r="C12" s="8" t="s">
        <v>72</v>
      </c>
      <c r="D12" s="9">
        <v>1</v>
      </c>
      <c r="E12" s="10">
        <v>17</v>
      </c>
      <c r="F12" s="10">
        <v>28</v>
      </c>
      <c r="G12" s="11">
        <f t="shared" si="0"/>
        <v>17</v>
      </c>
      <c r="H12" s="11">
        <f t="shared" si="1"/>
        <v>28</v>
      </c>
      <c r="I12" s="12">
        <v>3.3</v>
      </c>
      <c r="J12" s="13">
        <f t="shared" si="2"/>
        <v>5.6099999999999997E-2</v>
      </c>
      <c r="K12" s="13">
        <f t="shared" si="3"/>
        <v>9.2399999999999996E-2</v>
      </c>
      <c r="L12" s="14" t="s">
        <v>73</v>
      </c>
      <c r="M12" s="14" t="s">
        <v>74</v>
      </c>
      <c r="N12" s="14" t="s">
        <v>75</v>
      </c>
      <c r="O12" s="3"/>
      <c r="P12" s="1" t="s">
        <v>76</v>
      </c>
      <c r="Q12" s="1" t="s">
        <v>77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 ht="25.5" x14ac:dyDescent="0.25">
      <c r="A13" s="8" t="s">
        <v>40</v>
      </c>
      <c r="B13" s="8" t="s">
        <v>78</v>
      </c>
      <c r="C13" s="8" t="s">
        <v>79</v>
      </c>
      <c r="D13" s="9">
        <v>1</v>
      </c>
      <c r="E13" s="10">
        <v>17</v>
      </c>
      <c r="F13" s="10">
        <v>28</v>
      </c>
      <c r="G13" s="11">
        <f t="shared" si="0"/>
        <v>17</v>
      </c>
      <c r="H13" s="11">
        <f t="shared" si="1"/>
        <v>28</v>
      </c>
      <c r="I13" s="12">
        <v>3.3</v>
      </c>
      <c r="J13" s="13">
        <f t="shared" si="2"/>
        <v>5.6099999999999997E-2</v>
      </c>
      <c r="K13" s="13">
        <f t="shared" si="3"/>
        <v>9.2399999999999996E-2</v>
      </c>
      <c r="L13" s="14" t="s">
        <v>73</v>
      </c>
      <c r="M13" s="14" t="s">
        <v>74</v>
      </c>
      <c r="N13" s="14" t="s">
        <v>75</v>
      </c>
      <c r="O13" s="3"/>
      <c r="P13" s="4" t="s">
        <v>80</v>
      </c>
      <c r="Q13" s="6">
        <f>(Q5-Q6)*Q8/1000</f>
        <v>0.32264000000000009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8" t="s">
        <v>40</v>
      </c>
      <c r="B14" s="8" t="s">
        <v>81</v>
      </c>
      <c r="C14" s="8" t="s">
        <v>82</v>
      </c>
      <c r="D14" s="9">
        <v>1</v>
      </c>
      <c r="E14" s="10">
        <v>1.3</v>
      </c>
      <c r="F14" s="10">
        <v>1.6</v>
      </c>
      <c r="G14" s="11">
        <f t="shared" si="0"/>
        <v>1.3</v>
      </c>
      <c r="H14" s="11">
        <f t="shared" si="1"/>
        <v>1.6</v>
      </c>
      <c r="I14" s="12">
        <v>3.3</v>
      </c>
      <c r="J14" s="13">
        <f t="shared" si="2"/>
        <v>4.2900000000000004E-3</v>
      </c>
      <c r="K14" s="13">
        <f t="shared" si="3"/>
        <v>5.28E-3</v>
      </c>
      <c r="L14" s="14" t="s">
        <v>83</v>
      </c>
      <c r="M14" s="14" t="s">
        <v>84</v>
      </c>
      <c r="N14" s="14" t="s">
        <v>85</v>
      </c>
      <c r="O14" s="3"/>
      <c r="P14" s="4" t="s">
        <v>86</v>
      </c>
      <c r="Q14" s="6">
        <f>(Q5-Q6)*Q9/1000</f>
        <v>1.0815100000000004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 ht="25.5" x14ac:dyDescent="0.25">
      <c r="A15" s="8" t="s">
        <v>40</v>
      </c>
      <c r="B15" s="8" t="s">
        <v>87</v>
      </c>
      <c r="C15" s="8" t="s">
        <v>88</v>
      </c>
      <c r="D15" s="9">
        <v>1</v>
      </c>
      <c r="E15" s="10">
        <v>0.1</v>
      </c>
      <c r="F15" s="10">
        <v>2</v>
      </c>
      <c r="G15" s="11">
        <f t="shared" si="0"/>
        <v>0.1</v>
      </c>
      <c r="H15" s="11">
        <f t="shared" si="1"/>
        <v>2</v>
      </c>
      <c r="I15" s="12">
        <v>3.3</v>
      </c>
      <c r="J15" s="13">
        <f t="shared" si="2"/>
        <v>3.3E-4</v>
      </c>
      <c r="K15" s="13">
        <f t="shared" si="3"/>
        <v>6.6E-3</v>
      </c>
      <c r="L15" s="14" t="s">
        <v>89</v>
      </c>
      <c r="M15" s="14" t="s">
        <v>90</v>
      </c>
      <c r="N15" s="14" t="s">
        <v>91</v>
      </c>
      <c r="O15" s="3"/>
      <c r="P15" s="4" t="s">
        <v>92</v>
      </c>
      <c r="Q15" s="6">
        <f>(12-5)*G24/1000</f>
        <v>0.7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ht="25.5" x14ac:dyDescent="0.25">
      <c r="A16" s="8" t="s">
        <v>40</v>
      </c>
      <c r="B16" s="8" t="s">
        <v>93</v>
      </c>
      <c r="C16" s="8" t="s">
        <v>94</v>
      </c>
      <c r="D16" s="9">
        <v>1</v>
      </c>
      <c r="E16" s="10">
        <v>2</v>
      </c>
      <c r="F16" s="10">
        <v>5</v>
      </c>
      <c r="G16" s="11">
        <f t="shared" si="0"/>
        <v>2</v>
      </c>
      <c r="H16" s="11">
        <f t="shared" si="1"/>
        <v>5</v>
      </c>
      <c r="I16" s="12">
        <v>3.3</v>
      </c>
      <c r="J16" s="13">
        <f t="shared" si="2"/>
        <v>6.6E-3</v>
      </c>
      <c r="K16" s="13">
        <f t="shared" si="3"/>
        <v>1.6500000000000001E-2</v>
      </c>
      <c r="L16" s="14" t="s">
        <v>95</v>
      </c>
      <c r="M16" s="14" t="s">
        <v>96</v>
      </c>
      <c r="N16" s="14" t="s">
        <v>97</v>
      </c>
      <c r="O16" s="3"/>
      <c r="P16" s="4" t="s">
        <v>98</v>
      </c>
      <c r="Q16" s="6">
        <f>(14.4-5)*G24/1000</f>
        <v>0.94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ht="25.5" x14ac:dyDescent="0.25">
      <c r="A17" s="8" t="s">
        <v>99</v>
      </c>
      <c r="B17" s="8" t="s">
        <v>100</v>
      </c>
      <c r="C17" s="8" t="s">
        <v>101</v>
      </c>
      <c r="D17" s="9">
        <v>10</v>
      </c>
      <c r="E17" s="10">
        <v>10</v>
      </c>
      <c r="F17" s="10">
        <v>10</v>
      </c>
      <c r="G17" s="11">
        <f t="shared" si="0"/>
        <v>100</v>
      </c>
      <c r="H17" s="11">
        <f t="shared" si="1"/>
        <v>100</v>
      </c>
      <c r="I17" s="12">
        <v>5</v>
      </c>
      <c r="J17" s="13">
        <f t="shared" si="2"/>
        <v>0.5</v>
      </c>
      <c r="K17" s="13">
        <f t="shared" si="3"/>
        <v>0.5</v>
      </c>
      <c r="L17" s="14" t="s">
        <v>102</v>
      </c>
      <c r="M17" s="14" t="s">
        <v>74</v>
      </c>
      <c r="N17" s="14" t="s">
        <v>103</v>
      </c>
      <c r="O17" s="3"/>
      <c r="P17" s="4"/>
      <c r="Q17" s="4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17"/>
      <c r="F18" s="17"/>
      <c r="G18" s="17"/>
      <c r="H18" s="17"/>
      <c r="I18" s="18"/>
      <c r="J18" s="19"/>
      <c r="K18" s="19"/>
      <c r="L18" s="20"/>
      <c r="M18" s="20"/>
      <c r="N18" s="20"/>
      <c r="O18" s="3"/>
      <c r="P18" s="1" t="s">
        <v>104</v>
      </c>
      <c r="Q18" s="1"/>
      <c r="R18" s="3"/>
      <c r="S18" s="3"/>
      <c r="T18" s="3"/>
      <c r="U18" s="3"/>
      <c r="V18" s="3"/>
      <c r="W18" s="3"/>
      <c r="X18" s="3"/>
      <c r="Y18" s="3"/>
      <c r="Z18" s="3"/>
    </row>
    <row r="19" spans="1:26" ht="32.1" customHeight="1" x14ac:dyDescent="0.25">
      <c r="A19" s="3"/>
      <c r="B19" s="3"/>
      <c r="C19" s="3"/>
      <c r="D19" s="3"/>
      <c r="E19" s="17"/>
      <c r="F19" s="17"/>
      <c r="G19" s="17"/>
      <c r="H19" s="17"/>
      <c r="I19" s="18"/>
      <c r="J19" s="19"/>
      <c r="K19" s="19"/>
      <c r="L19" s="20"/>
      <c r="M19" s="20"/>
      <c r="N19" s="20"/>
      <c r="O19" s="3"/>
      <c r="P19" s="4" t="s">
        <v>105</v>
      </c>
      <c r="Q19" s="21" t="str">
        <f>IF(Q14&gt;0.25,"Peak envelope exceeds MCP1703 current rating",IF(Q13&gt;0.2,"Normal loss requires thermal test","Thermal test required"))</f>
        <v>Peak envelope exceeds MCP1703 current rating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ht="32.1" customHeight="1" x14ac:dyDescent="0.25">
      <c r="A20" s="3"/>
      <c r="B20" s="3"/>
      <c r="C20" s="3"/>
      <c r="D20" s="3"/>
      <c r="E20" s="17"/>
      <c r="F20" s="17"/>
      <c r="G20" s="17"/>
      <c r="H20" s="17"/>
      <c r="I20" s="18"/>
      <c r="J20" s="19"/>
      <c r="K20" s="19"/>
      <c r="L20" s="20"/>
      <c r="M20" s="20"/>
      <c r="N20" s="20"/>
      <c r="O20" s="3"/>
      <c r="P20" s="4" t="s">
        <v>106</v>
      </c>
      <c r="Q20" s="21" t="str">
        <f>IF(Q16&gt;0.5,"Linear solution needs redesign or substantial thermal path","Thermal test required")</f>
        <v>Linear solution needs redesign or substantial thermal path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25.5" x14ac:dyDescent="0.25">
      <c r="A21" s="22" t="s">
        <v>107</v>
      </c>
      <c r="B21" s="23"/>
      <c r="C21" s="23"/>
      <c r="D21" s="23"/>
      <c r="E21" s="24"/>
      <c r="F21" s="24"/>
      <c r="G21" s="24">
        <f>SUM(G6:G16)</f>
        <v>174.4</v>
      </c>
      <c r="H21" s="24">
        <f>SUM(H6:H16)</f>
        <v>584.6</v>
      </c>
      <c r="I21" s="25">
        <v>3.3</v>
      </c>
      <c r="J21" s="26">
        <f>SUM(J6:J16)</f>
        <v>0.57552000000000025</v>
      </c>
      <c r="K21" s="26">
        <f>SUM(K6:K16)</f>
        <v>1.9291799999999999</v>
      </c>
      <c r="L21" s="27" t="s">
        <v>108</v>
      </c>
      <c r="M21" s="27"/>
      <c r="N21" s="28" t="s">
        <v>109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17"/>
      <c r="F22" s="17"/>
      <c r="G22" s="17"/>
      <c r="H22" s="17"/>
      <c r="I22" s="18"/>
      <c r="J22" s="19"/>
      <c r="K22" s="19"/>
      <c r="L22" s="20"/>
      <c r="M22" s="20"/>
      <c r="N22" s="2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17"/>
      <c r="F23" s="17"/>
      <c r="G23" s="17"/>
      <c r="H23" s="17"/>
      <c r="I23" s="18"/>
      <c r="J23" s="19"/>
      <c r="K23" s="19"/>
      <c r="L23" s="20"/>
      <c r="M23" s="20"/>
      <c r="N23" s="2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x14ac:dyDescent="0.25">
      <c r="A24" s="22" t="s">
        <v>110</v>
      </c>
      <c r="B24" s="23"/>
      <c r="C24" s="23"/>
      <c r="D24" s="23"/>
      <c r="E24" s="24"/>
      <c r="F24" s="24"/>
      <c r="G24" s="24">
        <f>SUM(G17:G17)</f>
        <v>100</v>
      </c>
      <c r="H24" s="24">
        <f>SUM(H17:H17)</f>
        <v>100</v>
      </c>
      <c r="I24" s="25">
        <v>5</v>
      </c>
      <c r="J24" s="26">
        <f>SUM(J17:J17)</f>
        <v>0.5</v>
      </c>
      <c r="K24" s="26">
        <f>SUM(K17:K17)</f>
        <v>0.5</v>
      </c>
      <c r="L24" s="27" t="s">
        <v>111</v>
      </c>
      <c r="M24" s="27"/>
      <c r="N24" s="28" t="s">
        <v>112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3">
    <mergeCell ref="A2:N2"/>
    <mergeCell ref="A3:N3"/>
    <mergeCell ref="P2:Q2"/>
  </mergeCells>
  <conditionalFormatting sqref="Q19:Q20">
    <cfRule type="containsText" dxfId="0" priority="1" operator="containsText" text="exceeds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6.875" customWidth="1"/>
    <col min="2" max="2" width="22.5" customWidth="1"/>
    <col min="3" max="3" width="31.25" customWidth="1"/>
    <col min="4" max="4" width="32.5" customWidth="1"/>
    <col min="5" max="5" width="23.125" customWidth="1"/>
    <col min="6" max="6" width="26.25" customWidth="1"/>
  </cols>
  <sheetData>
    <row r="1" spans="1:2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1" customHeight="1" x14ac:dyDescent="0.25">
      <c r="A2" s="42" t="s">
        <v>113</v>
      </c>
      <c r="B2" s="30"/>
      <c r="C2" s="30"/>
      <c r="D2" s="30"/>
      <c r="E2" s="30"/>
      <c r="F2" s="3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25">
      <c r="A3" s="43" t="s">
        <v>114</v>
      </c>
      <c r="B3" s="30"/>
      <c r="C3" s="30"/>
      <c r="D3" s="30"/>
      <c r="E3" s="30"/>
      <c r="F3" s="3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6" customHeight="1" x14ac:dyDescent="0.25">
      <c r="A6" s="8" t="s">
        <v>44</v>
      </c>
      <c r="B6" s="8" t="s">
        <v>121</v>
      </c>
      <c r="C6" s="14" t="s">
        <v>122</v>
      </c>
      <c r="D6" s="14" t="s">
        <v>123</v>
      </c>
      <c r="E6" s="8" t="s">
        <v>124</v>
      </c>
      <c r="F6" s="14" t="s">
        <v>125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6" customHeight="1" x14ac:dyDescent="0.25">
      <c r="A7" s="8" t="s">
        <v>55</v>
      </c>
      <c r="B7" s="8" t="s">
        <v>53</v>
      </c>
      <c r="C7" s="14" t="s">
        <v>126</v>
      </c>
      <c r="D7" s="14" t="s">
        <v>127</v>
      </c>
      <c r="E7" s="8" t="s">
        <v>128</v>
      </c>
      <c r="F7" s="14" t="s">
        <v>129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6" customHeight="1" x14ac:dyDescent="0.25">
      <c r="A8" s="8" t="s">
        <v>67</v>
      </c>
      <c r="B8" s="8" t="s">
        <v>130</v>
      </c>
      <c r="C8" s="14" t="s">
        <v>131</v>
      </c>
      <c r="D8" s="14" t="s">
        <v>132</v>
      </c>
      <c r="E8" s="8" t="s">
        <v>133</v>
      </c>
      <c r="F8" s="14" t="s">
        <v>134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6" customHeight="1" x14ac:dyDescent="0.25">
      <c r="A9" s="8" t="s">
        <v>74</v>
      </c>
      <c r="B9" s="8" t="s">
        <v>135</v>
      </c>
      <c r="C9" s="14" t="s">
        <v>136</v>
      </c>
      <c r="D9" s="14" t="s">
        <v>137</v>
      </c>
      <c r="E9" s="8" t="s">
        <v>138</v>
      </c>
      <c r="F9" s="14" t="s">
        <v>139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6" customHeight="1" x14ac:dyDescent="0.25">
      <c r="A10" s="8" t="s">
        <v>84</v>
      </c>
      <c r="B10" s="8" t="s">
        <v>140</v>
      </c>
      <c r="C10" s="14" t="s">
        <v>141</v>
      </c>
      <c r="D10" s="14" t="s">
        <v>142</v>
      </c>
      <c r="E10" s="8" t="s">
        <v>143</v>
      </c>
      <c r="F10" s="14" t="s">
        <v>85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" customHeight="1" x14ac:dyDescent="0.25">
      <c r="A11" s="8" t="s">
        <v>49</v>
      </c>
      <c r="B11" s="8" t="s">
        <v>144</v>
      </c>
      <c r="C11" s="14" t="s">
        <v>145</v>
      </c>
      <c r="D11" s="14" t="s">
        <v>146</v>
      </c>
      <c r="E11" s="8" t="s">
        <v>147</v>
      </c>
      <c r="F11" s="14" t="s">
        <v>148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6" customHeight="1" x14ac:dyDescent="0.25">
      <c r="A12" s="8" t="s">
        <v>61</v>
      </c>
      <c r="B12" s="8" t="s">
        <v>59</v>
      </c>
      <c r="C12" s="14" t="s">
        <v>149</v>
      </c>
      <c r="D12" s="14" t="s">
        <v>150</v>
      </c>
      <c r="E12" s="8" t="s">
        <v>151</v>
      </c>
      <c r="F12" s="14" t="s">
        <v>152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 x14ac:dyDescent="0.25">
      <c r="A13" s="8" t="s">
        <v>90</v>
      </c>
      <c r="B13" s="8" t="s">
        <v>153</v>
      </c>
      <c r="C13" s="14" t="s">
        <v>154</v>
      </c>
      <c r="D13" s="14" t="s">
        <v>155</v>
      </c>
      <c r="E13" s="8" t="s">
        <v>156</v>
      </c>
      <c r="F13" s="14" t="s">
        <v>157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6" customHeight="1" x14ac:dyDescent="0.25">
      <c r="A14" s="8" t="s">
        <v>96</v>
      </c>
      <c r="B14" s="8" t="s">
        <v>158</v>
      </c>
      <c r="C14" s="14" t="s">
        <v>159</v>
      </c>
      <c r="D14" s="14" t="s">
        <v>160</v>
      </c>
      <c r="E14" s="8" t="s">
        <v>161</v>
      </c>
      <c r="F14" s="14" t="s">
        <v>162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 x14ac:dyDescent="0.25">
      <c r="A15" s="8" t="s">
        <v>163</v>
      </c>
      <c r="B15" s="8" t="s">
        <v>164</v>
      </c>
      <c r="C15" s="14" t="s">
        <v>165</v>
      </c>
      <c r="D15" s="14" t="s">
        <v>166</v>
      </c>
      <c r="E15" s="8" t="s">
        <v>167</v>
      </c>
      <c r="F15" s="14" t="s">
        <v>168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Rail Budget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Chithi Gunatilake</cp:lastModifiedBy>
  <dcterms:modified xsi:type="dcterms:W3CDTF">2026-09-13T14:31:02Z</dcterms:modified>
</cp:coreProperties>
</file>